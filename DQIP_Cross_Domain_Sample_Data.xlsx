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0338b59aa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5a00ae1db762411b"/>
    <x:sheet xmlns:r="http://schemas.openxmlformats.org/officeDocument/2006/relationships" name="Construction" sheetId="2" r:id="R2e50f82d48874ae8"/>
    <x:sheet xmlns:r="http://schemas.openxmlformats.org/officeDocument/2006/relationships" name="Manufacturing" sheetId="3" r:id="R2f677db696744edb"/>
    <x:sheet xmlns:r="http://schemas.openxmlformats.org/officeDocument/2006/relationships" name="Laboratory QA" sheetId="4" r:id="Rc3acce0d1cd440de"/>
    <x:sheet xmlns:r="http://schemas.openxmlformats.org/officeDocument/2006/relationships" name="Healthcare" sheetId="5" r:id="R8f16133a6d1b4d6b"/>
    <x:sheet xmlns:r="http://schemas.openxmlformats.org/officeDocument/2006/relationships" name="Pharmaceuticals" sheetId="6" r:id="R41caef9398ff478e"/>
    <x:sheet xmlns:r="http://schemas.openxmlformats.org/officeDocument/2006/relationships" name="Environmental" sheetId="7" r:id="Re48c1fe204c249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9A3412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9A3412"/>
      <x:name val="Aptos"/>
    </x:font>
    <x:font>
      <x:b/>
      <x:sz val="16"/>
      <x:color rgb="FFFFFFFF"/>
      <x:name val="Carlito"/>
    </x:font>
    <x:font>
      <x:i/>
      <x:sz val="11"/>
      <x:color rgb="FF07598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3A5F"/>
      </x:patternFill>
    </x:fill>
    <x:fill>
      <x:patternFill patternType="solid">
        <x:fgColor rgb="FF0F766E"/>
      </x:patternFill>
    </x:fill>
    <x:fill>
      <x:patternFill patternType="solid">
        <x:fgColor rgb="FFFFF7ED"/>
      </x:patternFill>
    </x:fill>
    <x:fill>
      <x:patternFill patternType="solid">
        <x:fgColor rgb="FFE0F2FE"/>
      </x:patternFill>
    </x:fill>
  </x:fills>
  <x:borders count="19">
    <x:border/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  <x:border>
      <x:left style="thin">
        <x:color rgb="FF115E59"/>
      </x:left>
      <x:top style="thin">
        <x:color rgb="FF115E59"/>
      </x:top>
      <x:bottom style="thin">
        <x:color rgb="FF115E59"/>
      </x:bottom>
    </x:border>
    <x:border>
      <x:top style="thin">
        <x:color rgb="FF115E59"/>
      </x:top>
      <x:bottom style="thin">
        <x:color rgb="FF115E59"/>
      </x:bottom>
    </x:border>
    <x:border>
      <x:right style="thin">
        <x:color rgb="FF115E59"/>
      </x:right>
      <x:top style="thin">
        <x:color rgb="FF115E59"/>
      </x:top>
      <x:bottom style="thin">
        <x:color rgb="FF115E59"/>
      </x:bottom>
    </x:border>
    <x:border>
      <x:right style="thin">
        <x:color rgb="FFDCE6EF"/>
      </x:right>
      <x:bottom style="thin">
        <x:color rgb="FFDCE6EF"/>
      </x:bottom>
    </x:border>
    <x:border>
      <x:left style="thin">
        <x:color rgb="FFDCE6EF"/>
      </x:left>
      <x:right style="thin">
        <x:color rgb="FFDCE6EF"/>
      </x:right>
      <x:bottom style="thin">
        <x:color rgb="FFDCE6EF"/>
      </x:bottom>
    </x:border>
    <x:border>
      <x:left style="thin">
        <x:color rgb="FFDCE6EF"/>
      </x:left>
      <x:bottom style="thin">
        <x:color rgb="FFDCE6EF"/>
      </x:bottom>
    </x:border>
    <x:border>
      <x:right style="thin">
        <x:color rgb="FFDCE6EF"/>
      </x:right>
      <x:top style="thin">
        <x:color rgb="FFDCE6EF"/>
      </x:top>
      <x:bottom style="thin">
        <x:color rgb="FFDCE6EF"/>
      </x:bottom>
    </x:border>
    <x:border>
      <x:left style="thin">
        <x:color rgb="FFDCE6EF"/>
      </x:left>
      <x:right style="thin">
        <x:color rgb="FFDCE6EF"/>
      </x:right>
      <x:top style="thin">
        <x:color rgb="FFDCE6EF"/>
      </x:top>
      <x:bottom style="thin">
        <x:color rgb="FFDCE6EF"/>
      </x:bottom>
    </x:border>
    <x:border>
      <x:left style="thin">
        <x:color rgb="FFDCE6EF"/>
      </x:left>
      <x:top style="thin">
        <x:color rgb="FFDCE6EF"/>
      </x:top>
      <x:bottom style="thin">
        <x:color rgb="FFDCE6EF"/>
      </x:bottom>
    </x:border>
    <x:border>
      <x:right style="thin">
        <x:color rgb="FFDCE6EF"/>
      </x:right>
      <x:top style="thin">
        <x:color rgb="FFDCE6EF"/>
      </x:top>
    </x:border>
    <x:border>
      <x:left style="thin">
        <x:color rgb="FFDCE6EF"/>
      </x:left>
      <x:right style="thin">
        <x:color rgb="FFDCE6EF"/>
      </x:right>
      <x:top style="thin">
        <x:color rgb="FFDCE6EF"/>
      </x:top>
    </x:border>
    <x:border>
      <x:left style="thin">
        <x:color rgb="FFDCE6EF"/>
      </x:left>
      <x:top style="thin">
        <x:color rgb="FFDCE6EF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0" xfId="0" applyNumberFormat="1" applyFont="1" applyFill="1" applyBorder="1"/>
    <x:xf numFmtId="200" fontId="0" fillId="0" borderId="11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14" xfId="0" applyNumberFormat="1" applyFont="1" applyFill="1" applyBorder="1"/>
    <x:xf numFmtId="0" fontId="0" fillId="0" borderId="14" xfId="0" applyNumberFormat="1" applyFont="1" applyFill="1" applyBorder="1"/>
    <x:xf numFmtId="201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7" xfId="0" applyNumberFormat="1" applyFont="1" applyFill="1" applyBorder="1"/>
    <x:xf numFmtId="0" fontId="0" fillId="0" borderId="17" xfId="0" applyNumberFormat="1" applyFont="1" applyFill="1" applyBorder="1"/>
    <x:xf numFmtId="201" fontId="0" fillId="0" borderId="17" xfId="0" applyNumberFormat="1" applyFont="1" applyFill="1" applyBorder="1"/>
    <x:xf numFmtId="0" fontId="0" fillId="0" borderId="18" xfId="0" applyNumberFormat="1" applyFont="1" applyFill="1" applyBorder="1"/>
  </x:cellXfs>
  <x:cellStyles count="1">
    <x:cellStyle name="Normal" xfId="0"/>
  </x:cellStyles>
  <x:dxfs count="2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2b248d4ed6485b" /><Relationship Type="http://schemas.openxmlformats.org/officeDocument/2006/relationships/theme" Target="/xl/theme/theme1.xml" Id="R1c9863095b1147d7" /><Relationship Type="http://schemas.openxmlformats.org/officeDocument/2006/relationships/sharedStrings" Target="/xl/sharedStrings.xml" Id="R04b3d36416044bb0" /><Relationship Type="http://schemas.openxmlformats.org/officeDocument/2006/relationships/worksheet" Target="/xl/worksheets/sheet1.xml" Id="R5a00ae1db762411b" /><Relationship Type="http://schemas.openxmlformats.org/officeDocument/2006/relationships/worksheet" Target="/xl/worksheets/sheet2.xml" Id="R2e50f82d48874ae8" /><Relationship Type="http://schemas.openxmlformats.org/officeDocument/2006/relationships/worksheet" Target="/xl/worksheets/sheet3.xml" Id="R2f677db696744edb" /><Relationship Type="http://schemas.openxmlformats.org/officeDocument/2006/relationships/worksheet" Target="/xl/worksheets/sheet4.xml" Id="Rc3acce0d1cd440de" /><Relationship Type="http://schemas.openxmlformats.org/officeDocument/2006/relationships/worksheet" Target="/xl/worksheets/sheet5.xml" Id="R8f16133a6d1b4d6b" /><Relationship Type="http://schemas.openxmlformats.org/officeDocument/2006/relationships/worksheet" Target="/xl/worksheets/sheet6.xml" Id="R41caef9398ff478e" /><Relationship Type="http://schemas.openxmlformats.org/officeDocument/2006/relationships/worksheet" Target="/xl/worksheets/sheet7.xml" Id="Re48c1fe204c2498c" /><Relationship Type="http://schemas.microsoft.com/office/2017/10/relationships/person" Target="/xl/persons/person.xml" Id="R536d93f544824417" /></Relationships>
</file>

<file path=xl/persons/person.xml><?xml version="1.0" encoding="utf-8"?>
<xltc:personList xmlns:xltc="http://schemas.microsoft.com/office/spreadsheetml/2018/threadedcomments">
  <xltc:person displayName="Janice Benita F." id="{35920998-9D01-4A31-AE21-C9661ADD8954}"/>
</xltc:personList>
</file>

<file path=xl/tables/table1.xml><?xml version="1.0" encoding="utf-8"?>
<x:table xmlns:x="http://schemas.openxmlformats.org/spreadsheetml/2006/main" id="1" name="ConstructionSampleTable" displayName="ConstructionSampleTable" ref="A4:I28" headerRowCount="1" totalsRowCount="0" totalsRowShown="0">
  <x:tableColumns count="9">
    <x:tableColumn id="1" name="Sample_ID"/>
    <x:tableColumn id="2" name="Test_Date"/>
    <x:tableColumn id="3" name="Project"/>
    <x:tableColumn id="4" name="Grade"/>
    <x:tableColumn id="5" name="Specified_Strength_MPa"/>
    <x:tableColumn id="6" name="Measured_Strength_MPa"/>
    <x:tableColumn id="7" name="Supplier"/>
    <x:tableColumn id="8" name="Batch_ID"/>
    <x:tableColumn id="9" name="Conformanc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nufacturingSampleTable" displayName="ManufacturingSampleTable" ref="A4:I28" headerRowCount="1" totalsRowCount="0" totalsRowShown="0">
  <x:tableColumns count="9">
    <x:tableColumn id="1" name="Sample_ID"/>
    <x:tableColumn id="2" name="Inspection_Date"/>
    <x:tableColumn id="3" name="Production_Line"/>
    <x:tableColumn id="4" name="Part_Number"/>
    <x:tableColumn id="5" name="Nominal_Diameter_mm"/>
    <x:tableColumn id="6" name="Measured_Diameter_mm"/>
    <x:tableColumn id="7" name="Lower_Spec_mm"/>
    <x:tableColumn id="8" name="Upper_Spec_mm"/>
    <x:tableColumn id="9" name="Conformance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boratoryQASampleTable" displayName="LaboratoryQASampleTable" ref="A4:I28" headerRowCount="1" totalsRowCount="0" totalsRowShown="0">
  <x:tableColumns count="9">
    <x:tableColumn id="1" name="Sample_ID"/>
    <x:tableColumn id="2" name="Analysis_Date"/>
    <x:tableColumn id="3" name="Instrument_ID"/>
    <x:tableColumn id="4" name="Analyte"/>
    <x:tableColumn id="5" name="Result_mg_L"/>
    <x:tableColumn id="6" name="Lower_Limit_mg_L"/>
    <x:tableColumn id="7" name="Upper_Limit_mg_L"/>
    <x:tableColumn id="8" name="Analyst_ID"/>
    <x:tableColumn id="9" name="Conformance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ealthcareSampleTable" displayName="HealthcareSampleTable" ref="A4:I28" headerRowCount="1" totalsRowCount="0" totalsRowShown="0">
  <x:tableColumns count="9">
    <x:tableColumn id="1" name="Encounter_ID"/>
    <x:tableColumn id="2" name="Encounter_Date"/>
    <x:tableColumn id="3" name="Facility"/>
    <x:tableColumn id="4" name="Department"/>
    <x:tableColumn id="5" name="Wait_Time_min"/>
    <x:tableColumn id="6" name="Target_Wait_Time_min"/>
    <x:tableColumn id="7" name="Readmission_30d"/>
    <x:tableColumn id="8" name="Data_Quality_Flag"/>
    <x:tableColumn id="9" name="Conformance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harmaceuticalsSampleTable" displayName="PharmaceuticalsSampleTable" ref="A4:I28" headerRowCount="1" totalsRowCount="0" totalsRowShown="0">
  <x:tableColumns count="9">
    <x:tableColumn id="1" name="Sample_ID"/>
    <x:tableColumn id="2" name="Test_Date"/>
    <x:tableColumn id="3" name="Product"/>
    <x:tableColumn id="4" name="Batch_ID"/>
    <x:tableColumn id="5" name="Assay_Percent"/>
    <x:tableColumn id="6" name="Lower_Spec_Percent"/>
    <x:tableColumn id="7" name="Upper_Spec_Percent"/>
    <x:tableColumn id="8" name="Lab_ID"/>
    <x:tableColumn id="9" name="Conformance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nvironmentalSampleTable" displayName="EnvironmentalSampleTable" ref="A4:I28" headerRowCount="1" totalsRowCount="0" totalsRowShown="0">
  <x:tableColumns count="9">
    <x:tableColumn id="1" name="Sample_ID"/>
    <x:tableColumn id="2" name="Collection_Date"/>
    <x:tableColumn id="3" name="Monitoring_Site"/>
    <x:tableColumn id="4" name="Parameter"/>
    <x:tableColumn id="5" name="Measured_Value"/>
    <x:tableColumn id="6" name="Unit"/>
    <x:tableColumn id="7" name="Lower_Limit"/>
    <x:tableColumn id="8" name="Upper_Limit"/>
    <x:tableColumn id="9" name="Conformance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25c98308894c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d065b63c5244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751ad3dccb4c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a7fe23c4f342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4154ee069348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f293fc7ff54c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  <x:col min="3" max="3" width="22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34" customHeight="1">
      <x:c r="A1" s="20" t="str">
        <x:v>DQIP Cross-Domain Model Sample Data</x:v>
      </x:c>
      <x:c r="B1" s="20"/>
      <x:c r="C1" s="20"/>
      <x:c r="D1" s="20"/>
      <x:c r="E1" s="20"/>
      <x:c r="F1" s="20"/>
    </x:row>
    <x:row r="2">
      <x:c r="A2" s="21"/>
      <x:c r="B2" s="21"/>
      <x:c r="C2" s="21"/>
      <x:c r="D2" s="21"/>
      <x:c r="E2" s="21"/>
      <x:c r="F2" s="21"/>
    </x:row>
    <x:row r="3">
      <x:c r="A3" s="22" t="str">
        <x:v>Domain</x:v>
      </x:c>
      <x:c r="B3" s="22" t="str">
        <x:v>Purpose</x:v>
      </x:c>
      <x:c r="C3" s="22" t="str">
        <x:v>Rows</x:v>
      </x:c>
      <x:c r="D3" s="22" t="str">
        <x:v>Identifier policy</x:v>
      </x:c>
      <x:c r="E3" s="22" t="str">
        <x:v>Status</x:v>
      </x:c>
      <x:c r="F3" s="22" t="str">
        <x:v>Intended use</x:v>
      </x:c>
    </x:row>
    <x:row r="4">
      <x:c r="A4" s="21" t="str">
        <x:v>Construction</x:v>
      </x:c>
      <x:c r="B4" s="21" t="str">
        <x:v>Concrete cube-strength quality monitoring (28-day results)</x:v>
      </x:c>
      <x:c r="C4" s="21" t="n">
        <x:v>24</x:v>
      </x:c>
      <x:c r="D4" s="21" t="str">
        <x:v>Synthetic identifiers only</x:v>
      </x:c>
      <x:c r="E4" s="21" t="str">
        <x:v>Illustrative</x:v>
      </x:c>
      <x:c r="F4" s="21" t="str">
        <x:v>Model development and demonstrations</x:v>
      </x:c>
    </x:row>
    <x:row r="5">
      <x:c r="A5" s="21" t="str">
        <x:v>Manufacturing</x:v>
      </x:c>
      <x:c r="B5" s="21" t="str">
        <x:v>Dimensional process control for machined components</x:v>
      </x:c>
      <x:c r="C5" s="21" t="n">
        <x:v>24</x:v>
      </x:c>
      <x:c r="D5" s="21" t="str">
        <x:v>Synthetic identifiers only</x:v>
      </x:c>
      <x:c r="E5" s="21" t="str">
        <x:v>Illustrative</x:v>
      </x:c>
      <x:c r="F5" s="21" t="str">
        <x:v>Model development and demonstrations</x:v>
      </x:c>
    </x:row>
    <x:row r="6">
      <x:c r="A6" s="21" t="str">
        <x:v>Laboratory QA</x:v>
      </x:c>
      <x:c r="B6" s="21" t="str">
        <x:v>Analytical laboratory result and control-limit monitoring</x:v>
      </x:c>
      <x:c r="C6" s="21" t="n">
        <x:v>24</x:v>
      </x:c>
      <x:c r="D6" s="21" t="str">
        <x:v>Synthetic identifiers only</x:v>
      </x:c>
      <x:c r="E6" s="21" t="str">
        <x:v>Illustrative</x:v>
      </x:c>
      <x:c r="F6" s="21" t="str">
        <x:v>Model development and demonstrations</x:v>
      </x:c>
    </x:row>
    <x:row r="7">
      <x:c r="A7" s="21" t="str">
        <x:v>Healthcare</x:v>
      </x:c>
      <x:c r="B7" s="21" t="str">
        <x:v>De-identified operational quality indicators (not for clinical decisions)</x:v>
      </x:c>
      <x:c r="C7" s="21" t="n">
        <x:v>24</x:v>
      </x:c>
      <x:c r="D7" s="21" t="str">
        <x:v>Synthetic identifiers only</x:v>
      </x:c>
      <x:c r="E7" s="21" t="str">
        <x:v>Illustrative</x:v>
      </x:c>
      <x:c r="F7" s="21" t="str">
        <x:v>Model development and demonstrations</x:v>
      </x:c>
    </x:row>
    <x:row r="8">
      <x:c r="A8" s="21" t="str">
        <x:v>Pharmaceuticals</x:v>
      </x:c>
      <x:c r="B8" s="21" t="str">
        <x:v>Finished-product assay and batch-release quality monitoring</x:v>
      </x:c>
      <x:c r="C8" s="21" t="n">
        <x:v>24</x:v>
      </x:c>
      <x:c r="D8" s="21" t="str">
        <x:v>Synthetic identifiers only</x:v>
      </x:c>
      <x:c r="E8" s="21" t="str">
        <x:v>Illustrative</x:v>
      </x:c>
      <x:c r="F8" s="21" t="str">
        <x:v>Model development and demonstrations</x:v>
      </x:c>
    </x:row>
    <x:row r="9">
      <x:c r="A9" s="21" t="str">
        <x:v>Environmental</x:v>
      </x:c>
      <x:c r="B9" s="21" t="str">
        <x:v>Water-quality monitoring against configurable acceptance limits</x:v>
      </x:c>
      <x:c r="C9" s="21" t="n">
        <x:v>24</x:v>
      </x:c>
      <x:c r="D9" s="21" t="str">
        <x:v>Synthetic identifiers only</x:v>
      </x:c>
      <x:c r="E9" s="21" t="str">
        <x:v>Illustrative</x:v>
      </x:c>
      <x:c r="F9" s="21" t="str">
        <x:v>Model development and demonstrations</x:v>
      </x:c>
    </x:row>
    <x:row r="10">
      <x:c r="A10" s="21"/>
      <x:c r="B10" s="21"/>
      <x:c r="C10" s="21"/>
      <x:c r="D10" s="21"/>
      <x:c r="E10" s="21"/>
      <x:c r="F10" s="21"/>
    </x:row>
    <x:row r="11">
      <x:c r="A11" s="23" t="str">
        <x:v>Important: All records are synthetic. Healthcare records are de-identified operational examples and must not be used for diagnosis, treatment, or other clinical decisions. Acceptance limits are illustrative and must be replaced with approved domain-specific standards before production use.</x:v>
      </x:c>
      <x:c r="B11" s="24"/>
      <x:c r="C11" s="24"/>
      <x:c r="D11" s="24"/>
      <x:c r="E11" s="24"/>
      <x:c r="F11" s="25"/>
    </x:row>
    <x:row r="12">
      <x:c r="A12" s="26"/>
      <x:c r="B12" s="27"/>
      <x:c r="C12" s="27"/>
      <x:c r="D12" s="27"/>
      <x:c r="E12" s="27"/>
      <x:c r="F12" s="28"/>
    </x:row>
  </x:sheetData>
  <x:mergeCells>
    <x:mergeCell ref="A1:F1"/>
    <x:mergeCell ref="A11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6" hidden="0" customWidth="1"/>
    <x:col min="4" max="4" width="10" hidden="0" customWidth="1"/>
    <x:col min="5" max="5" width="23" hidden="0" customWidth="1"/>
    <x:col min="6" max="6" width="22" hidden="0" customWidth="1"/>
    <x:col min="7" max="7" width="16" hidden="0" customWidth="1"/>
    <x:col min="8" max="8" width="13" hidden="0" customWidth="1"/>
    <x:col min="9" max="9" width="20" hidden="0" customWidth="1"/>
  </x:cols>
  <x:sheetData>
    <x:row r="1" ht="30" customHeight="1">
      <x:c r="A1" s="29" t="str">
        <x:v>Construction Quality Sample Data</x:v>
      </x:c>
      <x:c r="B1" s="29"/>
      <x:c r="C1" s="29"/>
      <x:c r="D1" s="29"/>
      <x:c r="E1" s="29"/>
      <x:c r="F1" s="29"/>
      <x:c r="G1" s="29"/>
      <x:c r="H1" s="29"/>
      <x:c r="I1" s="29"/>
    </x:row>
    <x:row r="2" ht="24" customHeight="1">
      <x:c r="A2" s="31" t="str">
        <x:v>Concrete cube-strength quality monitoring (28-day results)</x:v>
      </x:c>
      <x:c r="B2" s="31"/>
      <x:c r="C2" s="31"/>
      <x:c r="D2" s="31"/>
      <x:c r="E2" s="31"/>
      <x:c r="F2" s="31"/>
      <x:c r="G2" s="31"/>
      <x:c r="H2" s="31"/>
      <x:c r="I2" s="31"/>
    </x:row>
    <x:row r="4" ht="34" customHeight="1">
      <x:c r="A4" s="35" t="str">
        <x:v>Sample_ID</x:v>
      </x:c>
      <x:c r="B4" s="36" t="str">
        <x:v>Test_Date</x:v>
      </x:c>
      <x:c r="C4" s="36" t="str">
        <x:v>Project</x:v>
      </x:c>
      <x:c r="D4" s="36" t="str">
        <x:v>Grade</x:v>
      </x:c>
      <x:c r="E4" s="36" t="str">
        <x:v>Specified_Strength_MPa</x:v>
      </x:c>
      <x:c r="F4" s="36" t="str">
        <x:v>Measured_Strength_MPa</x:v>
      </x:c>
      <x:c r="G4" s="36" t="str">
        <x:v>Supplier</x:v>
      </x:c>
      <x:c r="H4" s="36" t="str">
        <x:v>Batch_ID</x:v>
      </x:c>
      <x:c r="I4" s="37" t="str">
        <x:v>Conformance_Status</x:v>
      </x:c>
    </x:row>
    <x:row r="5">
      <x:c r="A5" s="40" t="str">
        <x:v>CON-001</x:v>
      </x:c>
      <x:c r="B5" s="41" t="n">
        <x:v>46025</x:v>
      </x:c>
      <x:c r="C5" s="42" t="str">
        <x:v>Project 1</x:v>
      </x:c>
      <x:c r="D5" s="42" t="str">
        <x:v>M25</x:v>
      </x:c>
      <x:c r="E5" s="43" t="n">
        <x:v>25</x:v>
      </x:c>
      <x:c r="F5" s="43" t="n">
        <x:v>27.8</x:v>
      </x:c>
      <x:c r="G5" s="42" t="str">
        <x:v>Supplier 1</x:v>
      </x:c>
      <x:c r="H5" s="42" t="str">
        <x:v>B-1001</x:v>
      </x:c>
      <x:c r="I5" s="44" t="str">
        <x:f>IF(F5&gt;=E5,"Pass","Fail")</x:f>
        <x:v>Pass</x:v>
      </x:c>
    </x:row>
    <x:row r="6">
      <x:c r="A6" s="45" t="str">
        <x:v>CON-002</x:v>
      </x:c>
      <x:c r="B6" s="46" t="n">
        <x:v>46026</x:v>
      </x:c>
      <x:c r="C6" s="47" t="str">
        <x:v>Project 2</x:v>
      </x:c>
      <x:c r="D6" s="47" t="str">
        <x:v>M30</x:v>
      </x:c>
      <x:c r="E6" s="48" t="n">
        <x:v>30</x:v>
      </x:c>
      <x:c r="F6" s="48" t="n">
        <x:v>31.7</x:v>
      </x:c>
      <x:c r="G6" s="47" t="str">
        <x:v>Supplier 2</x:v>
      </x:c>
      <x:c r="H6" s="47" t="str">
        <x:v>B-1002</x:v>
      </x:c>
      <x:c r="I6" s="49" t="str">
        <x:f>IF(F6&gt;=E6,"Pass","Fail")</x:f>
        <x:v>Pass</x:v>
      </x:c>
    </x:row>
    <x:row r="7">
      <x:c r="A7" s="45" t="str">
        <x:v>CON-003</x:v>
      </x:c>
      <x:c r="B7" s="46" t="n">
        <x:v>46027</x:v>
      </x:c>
      <x:c r="C7" s="47" t="str">
        <x:v>Project 3</x:v>
      </x:c>
      <x:c r="D7" s="47" t="str">
        <x:v>M35</x:v>
      </x:c>
      <x:c r="E7" s="48" t="n">
        <x:v>35</x:v>
      </x:c>
      <x:c r="F7" s="48" t="n">
        <x:v>36.8</x:v>
      </x:c>
      <x:c r="G7" s="47" t="str">
        <x:v>Supplier 1</x:v>
      </x:c>
      <x:c r="H7" s="47" t="str">
        <x:v>B-1003</x:v>
      </x:c>
      <x:c r="I7" s="49" t="str">
        <x:f>IF(F7&gt;=E7,"Pass","Fail")</x:f>
        <x:v>Pass</x:v>
      </x:c>
    </x:row>
    <x:row r="8">
      <x:c r="A8" s="45" t="str">
        <x:v>CON-004</x:v>
      </x:c>
      <x:c r="B8" s="46" t="n">
        <x:v>46028</x:v>
      </x:c>
      <x:c r="C8" s="47" t="str">
        <x:v>Project 1</x:v>
      </x:c>
      <x:c r="D8" s="47" t="str">
        <x:v>M25</x:v>
      </x:c>
      <x:c r="E8" s="48" t="n">
        <x:v>25</x:v>
      </x:c>
      <x:c r="F8" s="48" t="n">
        <x:v>24.8</x:v>
      </x:c>
      <x:c r="G8" s="47" t="str">
        <x:v>Supplier 2</x:v>
      </x:c>
      <x:c r="H8" s="47" t="str">
        <x:v>B-1004</x:v>
      </x:c>
      <x:c r="I8" s="49" t="str">
        <x:f>IF(F8&gt;=E8,"Pass","Fail")</x:f>
        <x:v>Fail</x:v>
      </x:c>
    </x:row>
    <x:row r="9">
      <x:c r="A9" s="45" t="str">
        <x:v>CON-005</x:v>
      </x:c>
      <x:c r="B9" s="46" t="n">
        <x:v>46029</x:v>
      </x:c>
      <x:c r="C9" s="47" t="str">
        <x:v>Project 2</x:v>
      </x:c>
      <x:c r="D9" s="47" t="str">
        <x:v>M30</x:v>
      </x:c>
      <x:c r="E9" s="48" t="n">
        <x:v>30</x:v>
      </x:c>
      <x:c r="F9" s="48" t="n">
        <x:v>33.1</x:v>
      </x:c>
      <x:c r="G9" s="47" t="str">
        <x:v>Supplier 1</x:v>
      </x:c>
      <x:c r="H9" s="47" t="str">
        <x:v>B-1005</x:v>
      </x:c>
      <x:c r="I9" s="49" t="str">
        <x:f>IF(F9&gt;=E9,"Pass","Fail")</x:f>
        <x:v>Pass</x:v>
      </x:c>
    </x:row>
    <x:row r="10">
      <x:c r="A10" s="45" t="str">
        <x:v>CON-006</x:v>
      </x:c>
      <x:c r="B10" s="46" t="n">
        <x:v>46030</x:v>
      </x:c>
      <x:c r="C10" s="47" t="str">
        <x:v>Project 3</x:v>
      </x:c>
      <x:c r="D10" s="47" t="str">
        <x:v>M35</x:v>
      </x:c>
      <x:c r="E10" s="48" t="n">
        <x:v>35</x:v>
      </x:c>
      <x:c r="F10" s="48" t="n">
        <x:v>38.2</x:v>
      </x:c>
      <x:c r="G10" s="47" t="str">
        <x:v>Supplier 2</x:v>
      </x:c>
      <x:c r="H10" s="47" t="str">
        <x:v>B-1006</x:v>
      </x:c>
      <x:c r="I10" s="49" t="str">
        <x:f>IF(F10&gt;=E10,"Pass","Fail")</x:f>
        <x:v>Pass</x:v>
      </x:c>
    </x:row>
    <x:row r="11">
      <x:c r="A11" s="45" t="str">
        <x:v>CON-007</x:v>
      </x:c>
      <x:c r="B11" s="46" t="n">
        <x:v>46031</x:v>
      </x:c>
      <x:c r="C11" s="47" t="str">
        <x:v>Project 1</x:v>
      </x:c>
      <x:c r="D11" s="47" t="str">
        <x:v>M25</x:v>
      </x:c>
      <x:c r="E11" s="48" t="n">
        <x:v>25</x:v>
      </x:c>
      <x:c r="F11" s="48" t="n">
        <x:v>28.2</x:v>
      </x:c>
      <x:c r="G11" s="47" t="str">
        <x:v>Supplier 1</x:v>
      </x:c>
      <x:c r="H11" s="47" t="str">
        <x:v>B-1007</x:v>
      </x:c>
      <x:c r="I11" s="49" t="str">
        <x:f>IF(F11&gt;=E11,"Pass","Fail")</x:f>
        <x:v>Pass</x:v>
      </x:c>
    </x:row>
    <x:row r="12">
      <x:c r="A12" s="45" t="str">
        <x:v>CON-008</x:v>
      </x:c>
      <x:c r="B12" s="46" t="n">
        <x:v>46032</x:v>
      </x:c>
      <x:c r="C12" s="47" t="str">
        <x:v>Project 2</x:v>
      </x:c>
      <x:c r="D12" s="47" t="str">
        <x:v>M30</x:v>
      </x:c>
      <x:c r="E12" s="48" t="n">
        <x:v>30</x:v>
      </x:c>
      <x:c r="F12" s="48" t="n">
        <x:v>32.1</x:v>
      </x:c>
      <x:c r="G12" s="47" t="str">
        <x:v>Supplier 2</x:v>
      </x:c>
      <x:c r="H12" s="47" t="str">
        <x:v>B-1008</x:v>
      </x:c>
      <x:c r="I12" s="49" t="str">
        <x:f>IF(F12&gt;=E12,"Pass","Fail")</x:f>
        <x:v>Pass</x:v>
      </x:c>
    </x:row>
    <x:row r="13">
      <x:c r="A13" s="45" t="str">
        <x:v>CON-009</x:v>
      </x:c>
      <x:c r="B13" s="46" t="n">
        <x:v>46033</x:v>
      </x:c>
      <x:c r="C13" s="47" t="str">
        <x:v>Project 3</x:v>
      </x:c>
      <x:c r="D13" s="47" t="str">
        <x:v>M35</x:v>
      </x:c>
      <x:c r="E13" s="48" t="n">
        <x:v>35</x:v>
      </x:c>
      <x:c r="F13" s="48" t="n">
        <x:v>36.4</x:v>
      </x:c>
      <x:c r="G13" s="47" t="str">
        <x:v>Supplier 1</x:v>
      </x:c>
      <x:c r="H13" s="47" t="str">
        <x:v>B-1009</x:v>
      </x:c>
      <x:c r="I13" s="49" t="str">
        <x:f>IF(F13&gt;=E13,"Pass","Fail")</x:f>
        <x:v>Pass</x:v>
      </x:c>
    </x:row>
    <x:row r="14">
      <x:c r="A14" s="45" t="str">
        <x:v>CON-010</x:v>
      </x:c>
      <x:c r="B14" s="46" t="n">
        <x:v>46034</x:v>
      </x:c>
      <x:c r="C14" s="47" t="str">
        <x:v>Project 1</x:v>
      </x:c>
      <x:c r="D14" s="47" t="str">
        <x:v>M25</x:v>
      </x:c>
      <x:c r="E14" s="48" t="n">
        <x:v>25</x:v>
      </x:c>
      <x:c r="F14" s="48" t="n">
        <x:v>24.4</x:v>
      </x:c>
      <x:c r="G14" s="47" t="str">
        <x:v>Supplier 2</x:v>
      </x:c>
      <x:c r="H14" s="47" t="str">
        <x:v>B-1010</x:v>
      </x:c>
      <x:c r="I14" s="49" t="str">
        <x:f>IF(F14&gt;=E14,"Pass","Fail")</x:f>
        <x:v>Fail</x:v>
      </x:c>
    </x:row>
    <x:row r="15">
      <x:c r="A15" s="45" t="str">
        <x:v>CON-011</x:v>
      </x:c>
      <x:c r="B15" s="46" t="n">
        <x:v>46035</x:v>
      </x:c>
      <x:c r="C15" s="47" t="str">
        <x:v>Project 2</x:v>
      </x:c>
      <x:c r="D15" s="47" t="str">
        <x:v>M30</x:v>
      </x:c>
      <x:c r="E15" s="48" t="n">
        <x:v>30</x:v>
      </x:c>
      <x:c r="F15" s="48" t="n">
        <x:v>33.5</x:v>
      </x:c>
      <x:c r="G15" s="47" t="str">
        <x:v>Supplier 1</x:v>
      </x:c>
      <x:c r="H15" s="47" t="str">
        <x:v>B-1011</x:v>
      </x:c>
      <x:c r="I15" s="49" t="str">
        <x:f>IF(F15&gt;=E15,"Pass","Fail")</x:f>
        <x:v>Pass</x:v>
      </x:c>
    </x:row>
    <x:row r="16">
      <x:c r="A16" s="45" t="str">
        <x:v>CON-012</x:v>
      </x:c>
      <x:c r="B16" s="46" t="n">
        <x:v>46036</x:v>
      </x:c>
      <x:c r="C16" s="47" t="str">
        <x:v>Project 3</x:v>
      </x:c>
      <x:c r="D16" s="47" t="str">
        <x:v>M35</x:v>
      </x:c>
      <x:c r="E16" s="48" t="n">
        <x:v>35</x:v>
      </x:c>
      <x:c r="F16" s="48" t="n">
        <x:v>38.6</x:v>
      </x:c>
      <x:c r="G16" s="47" t="str">
        <x:v>Supplier 2</x:v>
      </x:c>
      <x:c r="H16" s="47" t="str">
        <x:v>B-1012</x:v>
      </x:c>
      <x:c r="I16" s="49" t="str">
        <x:f>IF(F16&gt;=E16,"Pass","Fail")</x:f>
        <x:v>Pass</x:v>
      </x:c>
    </x:row>
    <x:row r="17">
      <x:c r="A17" s="45" t="str">
        <x:v>CON-013</x:v>
      </x:c>
      <x:c r="B17" s="46" t="n">
        <x:v>46037</x:v>
      </x:c>
      <x:c r="C17" s="47" t="str">
        <x:v>Project 1</x:v>
      </x:c>
      <x:c r="D17" s="47" t="str">
        <x:v>M25</x:v>
      </x:c>
      <x:c r="E17" s="48" t="n">
        <x:v>25</x:v>
      </x:c>
      <x:c r="F17" s="48" t="n">
        <x:v>27.8</x:v>
      </x:c>
      <x:c r="G17" s="47" t="str">
        <x:v>Supplier 1</x:v>
      </x:c>
      <x:c r="H17" s="47" t="str">
        <x:v>B-1013</x:v>
      </x:c>
      <x:c r="I17" s="49" t="str">
        <x:f>IF(F17&gt;=E17,"Pass","Fail")</x:f>
        <x:v>Pass</x:v>
      </x:c>
    </x:row>
    <x:row r="18">
      <x:c r="A18" s="45" t="str">
        <x:v>CON-014</x:v>
      </x:c>
      <x:c r="B18" s="46" t="n">
        <x:v>46038</x:v>
      </x:c>
      <x:c r="C18" s="47" t="str">
        <x:v>Project 2</x:v>
      </x:c>
      <x:c r="D18" s="47" t="str">
        <x:v>M30</x:v>
      </x:c>
      <x:c r="E18" s="48" t="n">
        <x:v>30</x:v>
      </x:c>
      <x:c r="F18" s="48" t="n">
        <x:v>31.7</x:v>
      </x:c>
      <x:c r="G18" s="47" t="str">
        <x:v>Supplier 2</x:v>
      </x:c>
      <x:c r="H18" s="47" t="str">
        <x:v>B-1014</x:v>
      </x:c>
      <x:c r="I18" s="49" t="str">
        <x:f>IF(F18&gt;=E18,"Pass","Fail")</x:f>
        <x:v>Pass</x:v>
      </x:c>
    </x:row>
    <x:row r="19">
      <x:c r="A19" s="45" t="str">
        <x:v>CON-015</x:v>
      </x:c>
      <x:c r="B19" s="46" t="n">
        <x:v>46039</x:v>
      </x:c>
      <x:c r="C19" s="47" t="str">
        <x:v>Project 3</x:v>
      </x:c>
      <x:c r="D19" s="47" t="str">
        <x:v>M35</x:v>
      </x:c>
      <x:c r="E19" s="48" t="n">
        <x:v>35</x:v>
      </x:c>
      <x:c r="F19" s="48" t="n">
        <x:v>36.8</x:v>
      </x:c>
      <x:c r="G19" s="47" t="str">
        <x:v>Supplier 1</x:v>
      </x:c>
      <x:c r="H19" s="47" t="str">
        <x:v>B-1015</x:v>
      </x:c>
      <x:c r="I19" s="49" t="str">
        <x:f>IF(F19&gt;=E19,"Pass","Fail")</x:f>
        <x:v>Pass</x:v>
      </x:c>
    </x:row>
    <x:row r="20">
      <x:c r="A20" s="45" t="str">
        <x:v>CON-016</x:v>
      </x:c>
      <x:c r="B20" s="46" t="n">
        <x:v>46040</x:v>
      </x:c>
      <x:c r="C20" s="47" t="str">
        <x:v>Project 1</x:v>
      </x:c>
      <x:c r="D20" s="47" t="str">
        <x:v>M25</x:v>
      </x:c>
      <x:c r="E20" s="48" t="n">
        <x:v>25</x:v>
      </x:c>
      <x:c r="F20" s="48" t="n">
        <x:v>24.8</x:v>
      </x:c>
      <x:c r="G20" s="47" t="str">
        <x:v>Supplier 2</x:v>
      </x:c>
      <x:c r="H20" s="47" t="str">
        <x:v>B-1016</x:v>
      </x:c>
      <x:c r="I20" s="49" t="str">
        <x:f>IF(F20&gt;=E20,"Pass","Fail")</x:f>
        <x:v>Fail</x:v>
      </x:c>
    </x:row>
    <x:row r="21">
      <x:c r="A21" s="45" t="str">
        <x:v>CON-017</x:v>
      </x:c>
      <x:c r="B21" s="46" t="n">
        <x:v>46041</x:v>
      </x:c>
      <x:c r="C21" s="47" t="str">
        <x:v>Project 2</x:v>
      </x:c>
      <x:c r="D21" s="47" t="str">
        <x:v>M30</x:v>
      </x:c>
      <x:c r="E21" s="48" t="n">
        <x:v>30</x:v>
      </x:c>
      <x:c r="F21" s="48" t="n">
        <x:v>33.1</x:v>
      </x:c>
      <x:c r="G21" s="47" t="str">
        <x:v>Supplier 1</x:v>
      </x:c>
      <x:c r="H21" s="47" t="str">
        <x:v>B-1017</x:v>
      </x:c>
      <x:c r="I21" s="49" t="str">
        <x:f>IF(F21&gt;=E21,"Pass","Fail")</x:f>
        <x:v>Pass</x:v>
      </x:c>
    </x:row>
    <x:row r="22">
      <x:c r="A22" s="45" t="str">
        <x:v>CON-018</x:v>
      </x:c>
      <x:c r="B22" s="46" t="n">
        <x:v>46042</x:v>
      </x:c>
      <x:c r="C22" s="47" t="str">
        <x:v>Project 3</x:v>
      </x:c>
      <x:c r="D22" s="47" t="str">
        <x:v>M35</x:v>
      </x:c>
      <x:c r="E22" s="48" t="n">
        <x:v>35</x:v>
      </x:c>
      <x:c r="F22" s="48" t="n">
        <x:v>38.2</x:v>
      </x:c>
      <x:c r="G22" s="47" t="str">
        <x:v>Supplier 2</x:v>
      </x:c>
      <x:c r="H22" s="47" t="str">
        <x:v>B-1018</x:v>
      </x:c>
      <x:c r="I22" s="49" t="str">
        <x:f>IF(F22&gt;=E22,"Pass","Fail")</x:f>
        <x:v>Pass</x:v>
      </x:c>
    </x:row>
    <x:row r="23">
      <x:c r="A23" s="45" t="str">
        <x:v>CON-019</x:v>
      </x:c>
      <x:c r="B23" s="46" t="n">
        <x:v>46043</x:v>
      </x:c>
      <x:c r="C23" s="47" t="str">
        <x:v>Project 1</x:v>
      </x:c>
      <x:c r="D23" s="47" t="str">
        <x:v>M25</x:v>
      </x:c>
      <x:c r="E23" s="48" t="n">
        <x:v>25</x:v>
      </x:c>
      <x:c r="F23" s="48" t="n">
        <x:v>28.2</x:v>
      </x:c>
      <x:c r="G23" s="47" t="str">
        <x:v>Supplier 1</x:v>
      </x:c>
      <x:c r="H23" s="47" t="str">
        <x:v>B-1019</x:v>
      </x:c>
      <x:c r="I23" s="49" t="str">
        <x:f>IF(F23&gt;=E23,"Pass","Fail")</x:f>
        <x:v>Pass</x:v>
      </x:c>
    </x:row>
    <x:row r="24">
      <x:c r="A24" s="45" t="str">
        <x:v>CON-020</x:v>
      </x:c>
      <x:c r="B24" s="46" t="n">
        <x:v>46044</x:v>
      </x:c>
      <x:c r="C24" s="47" t="str">
        <x:v>Project 2</x:v>
      </x:c>
      <x:c r="D24" s="47" t="str">
        <x:v>M30</x:v>
      </x:c>
      <x:c r="E24" s="48" t="n">
        <x:v>30</x:v>
      </x:c>
      <x:c r="F24" s="48" t="n">
        <x:v>32.1</x:v>
      </x:c>
      <x:c r="G24" s="47" t="str">
        <x:v>Supplier 2</x:v>
      </x:c>
      <x:c r="H24" s="47" t="str">
        <x:v>B-1020</x:v>
      </x:c>
      <x:c r="I24" s="49" t="str">
        <x:f>IF(F24&gt;=E24,"Pass","Fail")</x:f>
        <x:v>Pass</x:v>
      </x:c>
    </x:row>
    <x:row r="25">
      <x:c r="A25" s="45" t="str">
        <x:v>CON-021</x:v>
      </x:c>
      <x:c r="B25" s="46" t="n">
        <x:v>46045</x:v>
      </x:c>
      <x:c r="C25" s="47" t="str">
        <x:v>Project 3</x:v>
      </x:c>
      <x:c r="D25" s="47" t="str">
        <x:v>M35</x:v>
      </x:c>
      <x:c r="E25" s="48" t="n">
        <x:v>35</x:v>
      </x:c>
      <x:c r="F25" s="48" t="n">
        <x:v>36.4</x:v>
      </x:c>
      <x:c r="G25" s="47" t="str">
        <x:v>Supplier 1</x:v>
      </x:c>
      <x:c r="H25" s="47" t="str">
        <x:v>B-1021</x:v>
      </x:c>
      <x:c r="I25" s="49" t="str">
        <x:f>IF(F25&gt;=E25,"Pass","Fail")</x:f>
        <x:v>Pass</x:v>
      </x:c>
    </x:row>
    <x:row r="26">
      <x:c r="A26" s="45" t="str">
        <x:v>CON-022</x:v>
      </x:c>
      <x:c r="B26" s="46" t="n">
        <x:v>46046</x:v>
      </x:c>
      <x:c r="C26" s="47" t="str">
        <x:v>Project 1</x:v>
      </x:c>
      <x:c r="D26" s="47" t="str">
        <x:v>M25</x:v>
      </x:c>
      <x:c r="E26" s="48" t="n">
        <x:v>25</x:v>
      </x:c>
      <x:c r="F26" s="48" t="n">
        <x:v>24.4</x:v>
      </x:c>
      <x:c r="G26" s="47" t="str">
        <x:v>Supplier 2</x:v>
      </x:c>
      <x:c r="H26" s="47" t="str">
        <x:v>B-1022</x:v>
      </x:c>
      <x:c r="I26" s="49" t="str">
        <x:f>IF(F26&gt;=E26,"Pass","Fail")</x:f>
        <x:v>Fail</x:v>
      </x:c>
    </x:row>
    <x:row r="27">
      <x:c r="A27" s="45" t="str">
        <x:v>CON-023</x:v>
      </x:c>
      <x:c r="B27" s="46" t="n">
        <x:v>46047</x:v>
      </x:c>
      <x:c r="C27" s="47" t="str">
        <x:v>Project 2</x:v>
      </x:c>
      <x:c r="D27" s="47" t="str">
        <x:v>M30</x:v>
      </x:c>
      <x:c r="E27" s="48" t="n">
        <x:v>30</x:v>
      </x:c>
      <x:c r="F27" s="48" t="n">
        <x:v>33.5</x:v>
      </x:c>
      <x:c r="G27" s="47" t="str">
        <x:v>Supplier 1</x:v>
      </x:c>
      <x:c r="H27" s="47" t="str">
        <x:v>B-1023</x:v>
      </x:c>
      <x:c r="I27" s="49" t="str">
        <x:f>IF(F27&gt;=E27,"Pass","Fail")</x:f>
        <x:v>Pass</x:v>
      </x:c>
    </x:row>
    <x:row r="28">
      <x:c r="A28" s="50" t="str">
        <x:v>CON-024</x:v>
      </x:c>
      <x:c r="B28" s="51" t="n">
        <x:v>46048</x:v>
      </x:c>
      <x:c r="C28" s="52" t="str">
        <x:v>Project 3</x:v>
      </x:c>
      <x:c r="D28" s="52" t="str">
        <x:v>M35</x:v>
      </x:c>
      <x:c r="E28" s="53" t="n">
        <x:v>35</x:v>
      </x:c>
      <x:c r="F28" s="53" t="n">
        <x:v>38.6</x:v>
      </x:c>
      <x:c r="G28" s="52" t="str">
        <x:v>Supplier 2</x:v>
      </x:c>
      <x:c r="H28" s="52" t="str">
        <x:v>B-1024</x:v>
      </x:c>
      <x:c r="I28" s="54" t="str">
        <x:f>IF(F28&gt;=E28,"Pass","Fail")</x:f>
        <x:v>Pass</x:v>
      </x:c>
    </x:row>
  </x:sheetData>
  <x:mergeCells>
    <x:mergeCell ref="A1:I1"/>
    <x:mergeCell ref="A2:I2"/>
  </x:mergeCells>
  <x:conditionalFormatting sqref="I5:I28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Review"/>
    <x:cfRule type="containsText" dxfId="3" priority="4" operator="containsText" text="Within Target"/>
  </x:conditionalFormatting>
  <x:pageMargins left="0.7" right="0.7" top="0.75" bottom="0.75" header="0.3" footer="0.3"/>
  <x:tableParts count="1">
    <x:tablePart xmlns:r="http://schemas.openxmlformats.org/officeDocument/2006/relationships" r:id="R0025c98308894c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7" hidden="0" customWidth="1"/>
    <x:col min="4" max="4" width="16" hidden="0" customWidth="1"/>
    <x:col min="5" max="5" width="22" hidden="0" customWidth="1"/>
    <x:col min="6" max="6" width="23" hidden="0" customWidth="1"/>
    <x:col min="7" max="7" width="17" hidden="0" customWidth="1"/>
    <x:col min="8" max="8" width="17" hidden="0" customWidth="1"/>
    <x:col min="9" max="9" width="20" hidden="0" customWidth="1"/>
  </x:cols>
  <x:sheetData>
    <x:row r="1" ht="30" customHeight="1">
      <x:c r="A1" s="29" t="str">
        <x:v>Manufacturing Quality Sample Data</x:v>
      </x:c>
      <x:c r="B1" s="29"/>
      <x:c r="C1" s="29"/>
      <x:c r="D1" s="29"/>
      <x:c r="E1" s="29"/>
      <x:c r="F1" s="29"/>
      <x:c r="G1" s="29"/>
      <x:c r="H1" s="29"/>
      <x:c r="I1" s="29"/>
    </x:row>
    <x:row r="2" ht="24" customHeight="1">
      <x:c r="A2" s="31" t="str">
        <x:v>Dimensional process control for machined components</x:v>
      </x:c>
      <x:c r="B2" s="31"/>
      <x:c r="C2" s="31"/>
      <x:c r="D2" s="31"/>
      <x:c r="E2" s="31"/>
      <x:c r="F2" s="31"/>
      <x:c r="G2" s="31"/>
      <x:c r="H2" s="31"/>
      <x:c r="I2" s="31"/>
    </x:row>
    <x:row r="4" ht="34" customHeight="1">
      <x:c r="A4" s="35" t="str">
        <x:v>Sample_ID</x:v>
      </x:c>
      <x:c r="B4" s="36" t="str">
        <x:v>Inspection_Date</x:v>
      </x:c>
      <x:c r="C4" s="36" t="str">
        <x:v>Production_Line</x:v>
      </x:c>
      <x:c r="D4" s="36" t="str">
        <x:v>Part_Number</x:v>
      </x:c>
      <x:c r="E4" s="36" t="str">
        <x:v>Nominal_Diameter_mm</x:v>
      </x:c>
      <x:c r="F4" s="36" t="str">
        <x:v>Measured_Diameter_mm</x:v>
      </x:c>
      <x:c r="G4" s="36" t="str">
        <x:v>Lower_Spec_mm</x:v>
      </x:c>
      <x:c r="H4" s="36" t="str">
        <x:v>Upper_Spec_mm</x:v>
      </x:c>
      <x:c r="I4" s="37" t="str">
        <x:v>Conformance_Status</x:v>
      </x:c>
    </x:row>
    <x:row r="5">
      <x:c r="A5" s="40" t="str">
        <x:v>MFG-001</x:v>
      </x:c>
      <x:c r="B5" s="41" t="n">
        <x:v>46054</x:v>
      </x:c>
      <x:c r="C5" s="42" t="str">
        <x:v>Line 1</x:v>
      </x:c>
      <x:c r="D5" s="42" t="str">
        <x:v>SHAFT-101</x:v>
      </x:c>
      <x:c r="E5" s="43" t="n">
        <x:v>20</x:v>
      </x:c>
      <x:c r="F5" s="43" t="n">
        <x:v>19.91</x:v>
      </x:c>
      <x:c r="G5" s="43" t="n">
        <x:v>19.9</x:v>
      </x:c>
      <x:c r="H5" s="43" t="n">
        <x:v>20.1</x:v>
      </x:c>
      <x:c r="I5" s="44" t="str">
        <x:f>IF(AND(F5&gt;=G5,F5&lt;=H5),"Pass","Fail")</x:f>
        <x:v>Pass</x:v>
      </x:c>
    </x:row>
    <x:row r="6">
      <x:c r="A6" s="45" t="str">
        <x:v>MFG-002</x:v>
      </x:c>
      <x:c r="B6" s="46" t="n">
        <x:v>46055</x:v>
      </x:c>
      <x:c r="C6" s="47" t="str">
        <x:v>Line 2</x:v>
      </x:c>
      <x:c r="D6" s="47" t="str">
        <x:v>SHAFT-102</x:v>
      </x:c>
      <x:c r="E6" s="48" t="n">
        <x:v>20</x:v>
      </x:c>
      <x:c r="F6" s="48" t="n">
        <x:v>19.98</x:v>
      </x:c>
      <x:c r="G6" s="48" t="n">
        <x:v>19.9</x:v>
      </x:c>
      <x:c r="H6" s="48" t="n">
        <x:v>20.1</x:v>
      </x:c>
      <x:c r="I6" s="49" t="str">
        <x:f>IF(AND(F6&gt;=G6,F6&lt;=H6),"Pass","Fail")</x:f>
        <x:v>Pass</x:v>
      </x:c>
    </x:row>
    <x:row r="7">
      <x:c r="A7" s="45" t="str">
        <x:v>MFG-003</x:v>
      </x:c>
      <x:c r="B7" s="46" t="n">
        <x:v>46056</x:v>
      </x:c>
      <x:c r="C7" s="47" t="str">
        <x:v>Line 3</x:v>
      </x:c>
      <x:c r="D7" s="47" t="str">
        <x:v>SHAFT-103</x:v>
      </x:c>
      <x:c r="E7" s="48" t="n">
        <x:v>20</x:v>
      </x:c>
      <x:c r="F7" s="48" t="n">
        <x:v>20.05</x:v>
      </x:c>
      <x:c r="G7" s="48" t="n">
        <x:v>19.9</x:v>
      </x:c>
      <x:c r="H7" s="48" t="n">
        <x:v>20.1</x:v>
      </x:c>
      <x:c r="I7" s="49" t="str">
        <x:f>IF(AND(F7&gt;=G7,F7&lt;=H7),"Pass","Fail")</x:f>
        <x:v>Pass</x:v>
      </x:c>
    </x:row>
    <x:row r="8">
      <x:c r="A8" s="45" t="str">
        <x:v>MFG-004</x:v>
      </x:c>
      <x:c r="B8" s="46" t="n">
        <x:v>46057</x:v>
      </x:c>
      <x:c r="C8" s="47" t="str">
        <x:v>Line 1</x:v>
      </x:c>
      <x:c r="D8" s="47" t="str">
        <x:v>SHAFT-104</x:v>
      </x:c>
      <x:c r="E8" s="48" t="n">
        <x:v>20</x:v>
      </x:c>
      <x:c r="F8" s="48" t="n">
        <x:v>19.91</x:v>
      </x:c>
      <x:c r="G8" s="48" t="n">
        <x:v>19.9</x:v>
      </x:c>
      <x:c r="H8" s="48" t="n">
        <x:v>20.1</x:v>
      </x:c>
      <x:c r="I8" s="49" t="str">
        <x:f>IF(AND(F8&gt;=G8,F8&lt;=H8),"Pass","Fail")</x:f>
        <x:v>Pass</x:v>
      </x:c>
    </x:row>
    <x:row r="9">
      <x:c r="A9" s="45" t="str">
        <x:v>MFG-005</x:v>
      </x:c>
      <x:c r="B9" s="46" t="n">
        <x:v>46058</x:v>
      </x:c>
      <x:c r="C9" s="47" t="str">
        <x:v>Line 2</x:v>
      </x:c>
      <x:c r="D9" s="47" t="str">
        <x:v>SHAFT-101</x:v>
      </x:c>
      <x:c r="E9" s="48" t="n">
        <x:v>20</x:v>
      </x:c>
      <x:c r="F9" s="48" t="n">
        <x:v>19.98</x:v>
      </x:c>
      <x:c r="G9" s="48" t="n">
        <x:v>19.9</x:v>
      </x:c>
      <x:c r="H9" s="48" t="n">
        <x:v>20.1</x:v>
      </x:c>
      <x:c r="I9" s="49" t="str">
        <x:f>IF(AND(F9&gt;=G9,F9&lt;=H9),"Pass","Fail")</x:f>
        <x:v>Pass</x:v>
      </x:c>
    </x:row>
    <x:row r="10">
      <x:c r="A10" s="45" t="str">
        <x:v>MFG-006</x:v>
      </x:c>
      <x:c r="B10" s="46" t="n">
        <x:v>46059</x:v>
      </x:c>
      <x:c r="C10" s="47" t="str">
        <x:v>Line 3</x:v>
      </x:c>
      <x:c r="D10" s="47" t="str">
        <x:v>SHAFT-102</x:v>
      </x:c>
      <x:c r="E10" s="48" t="n">
        <x:v>20</x:v>
      </x:c>
      <x:c r="F10" s="48" t="n">
        <x:v>20.05</x:v>
      </x:c>
      <x:c r="G10" s="48" t="n">
        <x:v>19.9</x:v>
      </x:c>
      <x:c r="H10" s="48" t="n">
        <x:v>20.1</x:v>
      </x:c>
      <x:c r="I10" s="49" t="str">
        <x:f>IF(AND(F10&gt;=G10,F10&lt;=H10),"Pass","Fail")</x:f>
        <x:v>Pass</x:v>
      </x:c>
    </x:row>
    <x:row r="11">
      <x:c r="A11" s="45" t="str">
        <x:v>MFG-007</x:v>
      </x:c>
      <x:c r="B11" s="46" t="n">
        <x:v>46060</x:v>
      </x:c>
      <x:c r="C11" s="47" t="str">
        <x:v>Line 1</x:v>
      </x:c>
      <x:c r="D11" s="47" t="str">
        <x:v>SHAFT-103</x:v>
      </x:c>
      <x:c r="E11" s="48" t="n">
        <x:v>20</x:v>
      </x:c>
      <x:c r="F11" s="48" t="n">
        <x:v>19.91</x:v>
      </x:c>
      <x:c r="G11" s="48" t="n">
        <x:v>19.9</x:v>
      </x:c>
      <x:c r="H11" s="48" t="n">
        <x:v>20.1</x:v>
      </x:c>
      <x:c r="I11" s="49" t="str">
        <x:f>IF(AND(F11&gt;=G11,F11&lt;=H11),"Pass","Fail")</x:f>
        <x:v>Pass</x:v>
      </x:c>
    </x:row>
    <x:row r="12">
      <x:c r="A12" s="45" t="str">
        <x:v>MFG-008</x:v>
      </x:c>
      <x:c r="B12" s="46" t="n">
        <x:v>46061</x:v>
      </x:c>
      <x:c r="C12" s="47" t="str">
        <x:v>Line 2</x:v>
      </x:c>
      <x:c r="D12" s="47" t="str">
        <x:v>SHAFT-104</x:v>
      </x:c>
      <x:c r="E12" s="48" t="n">
        <x:v>20</x:v>
      </x:c>
      <x:c r="F12" s="48" t="n">
        <x:v>19.98</x:v>
      </x:c>
      <x:c r="G12" s="48" t="n">
        <x:v>19.9</x:v>
      </x:c>
      <x:c r="H12" s="48" t="n">
        <x:v>20.1</x:v>
      </x:c>
      <x:c r="I12" s="49" t="str">
        <x:f>IF(AND(F12&gt;=G12,F12&lt;=H12),"Pass","Fail")</x:f>
        <x:v>Pass</x:v>
      </x:c>
    </x:row>
    <x:row r="13">
      <x:c r="A13" s="45" t="str">
        <x:v>MFG-009</x:v>
      </x:c>
      <x:c r="B13" s="46" t="n">
        <x:v>46062</x:v>
      </x:c>
      <x:c r="C13" s="47" t="str">
        <x:v>Line 3</x:v>
      </x:c>
      <x:c r="D13" s="47" t="str">
        <x:v>SHAFT-101</x:v>
      </x:c>
      <x:c r="E13" s="48" t="n">
        <x:v>20</x:v>
      </x:c>
      <x:c r="F13" s="48" t="n">
        <x:v>20.05</x:v>
      </x:c>
      <x:c r="G13" s="48" t="n">
        <x:v>19.9</x:v>
      </x:c>
      <x:c r="H13" s="48" t="n">
        <x:v>20.1</x:v>
      </x:c>
      <x:c r="I13" s="49" t="str">
        <x:f>IF(AND(F13&gt;=G13,F13&lt;=H13),"Pass","Fail")</x:f>
        <x:v>Pass</x:v>
      </x:c>
    </x:row>
    <x:row r="14">
      <x:c r="A14" s="45" t="str">
        <x:v>MFG-010</x:v>
      </x:c>
      <x:c r="B14" s="46" t="n">
        <x:v>46063</x:v>
      </x:c>
      <x:c r="C14" s="47" t="str">
        <x:v>Line 1</x:v>
      </x:c>
      <x:c r="D14" s="47" t="str">
        <x:v>SHAFT-102</x:v>
      </x:c>
      <x:c r="E14" s="48" t="n">
        <x:v>20</x:v>
      </x:c>
      <x:c r="F14" s="48" t="n">
        <x:v>19.91</x:v>
      </x:c>
      <x:c r="G14" s="48" t="n">
        <x:v>19.9</x:v>
      </x:c>
      <x:c r="H14" s="48" t="n">
        <x:v>20.1</x:v>
      </x:c>
      <x:c r="I14" s="49" t="str">
        <x:f>IF(AND(F14&gt;=G14,F14&lt;=H14),"Pass","Fail")</x:f>
        <x:v>Pass</x:v>
      </x:c>
    </x:row>
    <x:row r="15">
      <x:c r="A15" s="45" t="str">
        <x:v>MFG-011</x:v>
      </x:c>
      <x:c r="B15" s="46" t="n">
        <x:v>46064</x:v>
      </x:c>
      <x:c r="C15" s="47" t="str">
        <x:v>Line 2</x:v>
      </x:c>
      <x:c r="D15" s="47" t="str">
        <x:v>SHAFT-103</x:v>
      </x:c>
      <x:c r="E15" s="48" t="n">
        <x:v>20</x:v>
      </x:c>
      <x:c r="F15" s="48" t="n">
        <x:v>19.98</x:v>
      </x:c>
      <x:c r="G15" s="48" t="n">
        <x:v>19.9</x:v>
      </x:c>
      <x:c r="H15" s="48" t="n">
        <x:v>20.1</x:v>
      </x:c>
      <x:c r="I15" s="49" t="str">
        <x:f>IF(AND(F15&gt;=G15,F15&lt;=H15),"Pass","Fail")</x:f>
        <x:v>Pass</x:v>
      </x:c>
    </x:row>
    <x:row r="16">
      <x:c r="A16" s="45" t="str">
        <x:v>MFG-012</x:v>
      </x:c>
      <x:c r="B16" s="46" t="n">
        <x:v>46065</x:v>
      </x:c>
      <x:c r="C16" s="47" t="str">
        <x:v>Line 3</x:v>
      </x:c>
      <x:c r="D16" s="47" t="str">
        <x:v>SHAFT-104</x:v>
      </x:c>
      <x:c r="E16" s="48" t="n">
        <x:v>20</x:v>
      </x:c>
      <x:c r="F16" s="48" t="n">
        <x:v>20.05</x:v>
      </x:c>
      <x:c r="G16" s="48" t="n">
        <x:v>19.9</x:v>
      </x:c>
      <x:c r="H16" s="48" t="n">
        <x:v>20.1</x:v>
      </x:c>
      <x:c r="I16" s="49" t="str">
        <x:f>IF(AND(F16&gt;=G16,F16&lt;=H16),"Pass","Fail")</x:f>
        <x:v>Pass</x:v>
      </x:c>
    </x:row>
    <x:row r="17">
      <x:c r="A17" s="45" t="str">
        <x:v>MFG-013</x:v>
      </x:c>
      <x:c r="B17" s="46" t="n">
        <x:v>46066</x:v>
      </x:c>
      <x:c r="C17" s="47" t="str">
        <x:v>Line 1</x:v>
      </x:c>
      <x:c r="D17" s="47" t="str">
        <x:v>SHAFT-101</x:v>
      </x:c>
      <x:c r="E17" s="48" t="n">
        <x:v>20</x:v>
      </x:c>
      <x:c r="F17" s="48" t="n">
        <x:v>19.91</x:v>
      </x:c>
      <x:c r="G17" s="48" t="n">
        <x:v>19.9</x:v>
      </x:c>
      <x:c r="H17" s="48" t="n">
        <x:v>20.1</x:v>
      </x:c>
      <x:c r="I17" s="49" t="str">
        <x:f>IF(AND(F17&gt;=G17,F17&lt;=H17),"Pass","Fail")</x:f>
        <x:v>Pass</x:v>
      </x:c>
    </x:row>
    <x:row r="18">
      <x:c r="A18" s="45" t="str">
        <x:v>MFG-014</x:v>
      </x:c>
      <x:c r="B18" s="46" t="n">
        <x:v>46067</x:v>
      </x:c>
      <x:c r="C18" s="47" t="str">
        <x:v>Line 2</x:v>
      </x:c>
      <x:c r="D18" s="47" t="str">
        <x:v>SHAFT-102</x:v>
      </x:c>
      <x:c r="E18" s="48" t="n">
        <x:v>20</x:v>
      </x:c>
      <x:c r="F18" s="48" t="n">
        <x:v>19.98</x:v>
      </x:c>
      <x:c r="G18" s="48" t="n">
        <x:v>19.9</x:v>
      </x:c>
      <x:c r="H18" s="48" t="n">
        <x:v>20.1</x:v>
      </x:c>
      <x:c r="I18" s="49" t="str">
        <x:f>IF(AND(F18&gt;=G18,F18&lt;=H18),"Pass","Fail")</x:f>
        <x:v>Pass</x:v>
      </x:c>
    </x:row>
    <x:row r="19">
      <x:c r="A19" s="45" t="str">
        <x:v>MFG-015</x:v>
      </x:c>
      <x:c r="B19" s="46" t="n">
        <x:v>46068</x:v>
      </x:c>
      <x:c r="C19" s="47" t="str">
        <x:v>Line 3</x:v>
      </x:c>
      <x:c r="D19" s="47" t="str">
        <x:v>SHAFT-103</x:v>
      </x:c>
      <x:c r="E19" s="48" t="n">
        <x:v>20</x:v>
      </x:c>
      <x:c r="F19" s="48" t="n">
        <x:v>20.05</x:v>
      </x:c>
      <x:c r="G19" s="48" t="n">
        <x:v>19.9</x:v>
      </x:c>
      <x:c r="H19" s="48" t="n">
        <x:v>20.1</x:v>
      </x:c>
      <x:c r="I19" s="49" t="str">
        <x:f>IF(AND(F19&gt;=G19,F19&lt;=H19),"Pass","Fail")</x:f>
        <x:v>Pass</x:v>
      </x:c>
    </x:row>
    <x:row r="20">
      <x:c r="A20" s="45" t="str">
        <x:v>MFG-016</x:v>
      </x:c>
      <x:c r="B20" s="46" t="n">
        <x:v>46069</x:v>
      </x:c>
      <x:c r="C20" s="47" t="str">
        <x:v>Line 1</x:v>
      </x:c>
      <x:c r="D20" s="47" t="str">
        <x:v>SHAFT-104</x:v>
      </x:c>
      <x:c r="E20" s="48" t="n">
        <x:v>20</x:v>
      </x:c>
      <x:c r="F20" s="48" t="n">
        <x:v>19.91</x:v>
      </x:c>
      <x:c r="G20" s="48" t="n">
        <x:v>19.9</x:v>
      </x:c>
      <x:c r="H20" s="48" t="n">
        <x:v>20.1</x:v>
      </x:c>
      <x:c r="I20" s="49" t="str">
        <x:f>IF(AND(F20&gt;=G20,F20&lt;=H20),"Pass","Fail")</x:f>
        <x:v>Pass</x:v>
      </x:c>
    </x:row>
    <x:row r="21">
      <x:c r="A21" s="45" t="str">
        <x:v>MFG-017</x:v>
      </x:c>
      <x:c r="B21" s="46" t="n">
        <x:v>46070</x:v>
      </x:c>
      <x:c r="C21" s="47" t="str">
        <x:v>Line 2</x:v>
      </x:c>
      <x:c r="D21" s="47" t="str">
        <x:v>SHAFT-101</x:v>
      </x:c>
      <x:c r="E21" s="48" t="n">
        <x:v>20</x:v>
      </x:c>
      <x:c r="F21" s="48" t="n">
        <x:v>19.98</x:v>
      </x:c>
      <x:c r="G21" s="48" t="n">
        <x:v>19.9</x:v>
      </x:c>
      <x:c r="H21" s="48" t="n">
        <x:v>20.1</x:v>
      </x:c>
      <x:c r="I21" s="49" t="str">
        <x:f>IF(AND(F21&gt;=G21,F21&lt;=H21),"Pass","Fail")</x:f>
        <x:v>Pass</x:v>
      </x:c>
    </x:row>
    <x:row r="22">
      <x:c r="A22" s="45" t="str">
        <x:v>MFG-018</x:v>
      </x:c>
      <x:c r="B22" s="46" t="n">
        <x:v>46071</x:v>
      </x:c>
      <x:c r="C22" s="47" t="str">
        <x:v>Line 3</x:v>
      </x:c>
      <x:c r="D22" s="47" t="str">
        <x:v>SHAFT-102</x:v>
      </x:c>
      <x:c r="E22" s="48" t="n">
        <x:v>20</x:v>
      </x:c>
      <x:c r="F22" s="48" t="n">
        <x:v>20.05</x:v>
      </x:c>
      <x:c r="G22" s="48" t="n">
        <x:v>19.9</x:v>
      </x:c>
      <x:c r="H22" s="48" t="n">
        <x:v>20.1</x:v>
      </x:c>
      <x:c r="I22" s="49" t="str">
        <x:f>IF(AND(F22&gt;=G22,F22&lt;=H22),"Pass","Fail")</x:f>
        <x:v>Pass</x:v>
      </x:c>
    </x:row>
    <x:row r="23">
      <x:c r="A23" s="45" t="str">
        <x:v>MFG-019</x:v>
      </x:c>
      <x:c r="B23" s="46" t="n">
        <x:v>46072</x:v>
      </x:c>
      <x:c r="C23" s="47" t="str">
        <x:v>Line 1</x:v>
      </x:c>
      <x:c r="D23" s="47" t="str">
        <x:v>SHAFT-103</x:v>
      </x:c>
      <x:c r="E23" s="48" t="n">
        <x:v>20</x:v>
      </x:c>
      <x:c r="F23" s="48" t="n">
        <x:v>19.91</x:v>
      </x:c>
      <x:c r="G23" s="48" t="n">
        <x:v>19.9</x:v>
      </x:c>
      <x:c r="H23" s="48" t="n">
        <x:v>20.1</x:v>
      </x:c>
      <x:c r="I23" s="49" t="str">
        <x:f>IF(AND(F23&gt;=G23,F23&lt;=H23),"Pass","Fail")</x:f>
        <x:v>Pass</x:v>
      </x:c>
    </x:row>
    <x:row r="24">
      <x:c r="A24" s="45" t="str">
        <x:v>MFG-020</x:v>
      </x:c>
      <x:c r="B24" s="46" t="n">
        <x:v>46073</x:v>
      </x:c>
      <x:c r="C24" s="47" t="str">
        <x:v>Line 2</x:v>
      </x:c>
      <x:c r="D24" s="47" t="str">
        <x:v>SHAFT-104</x:v>
      </x:c>
      <x:c r="E24" s="48" t="n">
        <x:v>20</x:v>
      </x:c>
      <x:c r="F24" s="48" t="n">
        <x:v>19.98</x:v>
      </x:c>
      <x:c r="G24" s="48" t="n">
        <x:v>19.9</x:v>
      </x:c>
      <x:c r="H24" s="48" t="n">
        <x:v>20.1</x:v>
      </x:c>
      <x:c r="I24" s="49" t="str">
        <x:f>IF(AND(F24&gt;=G24,F24&lt;=H24),"Pass","Fail")</x:f>
        <x:v>Pass</x:v>
      </x:c>
    </x:row>
    <x:row r="25">
      <x:c r="A25" s="45" t="str">
        <x:v>MFG-021</x:v>
      </x:c>
      <x:c r="B25" s="46" t="n">
        <x:v>46074</x:v>
      </x:c>
      <x:c r="C25" s="47" t="str">
        <x:v>Line 3</x:v>
      </x:c>
      <x:c r="D25" s="47" t="str">
        <x:v>SHAFT-101</x:v>
      </x:c>
      <x:c r="E25" s="48" t="n">
        <x:v>20</x:v>
      </x:c>
      <x:c r="F25" s="48" t="n">
        <x:v>20.05</x:v>
      </x:c>
      <x:c r="G25" s="48" t="n">
        <x:v>19.9</x:v>
      </x:c>
      <x:c r="H25" s="48" t="n">
        <x:v>20.1</x:v>
      </x:c>
      <x:c r="I25" s="49" t="str">
        <x:f>IF(AND(F25&gt;=G25,F25&lt;=H25),"Pass","Fail")</x:f>
        <x:v>Pass</x:v>
      </x:c>
    </x:row>
    <x:row r="26">
      <x:c r="A26" s="45" t="str">
        <x:v>MFG-022</x:v>
      </x:c>
      <x:c r="B26" s="46" t="n">
        <x:v>46075</x:v>
      </x:c>
      <x:c r="C26" s="47" t="str">
        <x:v>Line 1</x:v>
      </x:c>
      <x:c r="D26" s="47" t="str">
        <x:v>SHAFT-102</x:v>
      </x:c>
      <x:c r="E26" s="48" t="n">
        <x:v>20</x:v>
      </x:c>
      <x:c r="F26" s="48" t="n">
        <x:v>19.91</x:v>
      </x:c>
      <x:c r="G26" s="48" t="n">
        <x:v>19.9</x:v>
      </x:c>
      <x:c r="H26" s="48" t="n">
        <x:v>20.1</x:v>
      </x:c>
      <x:c r="I26" s="49" t="str">
        <x:f>IF(AND(F26&gt;=G26,F26&lt;=H26),"Pass","Fail")</x:f>
        <x:v>Pass</x:v>
      </x:c>
    </x:row>
    <x:row r="27">
      <x:c r="A27" s="45" t="str">
        <x:v>MFG-023</x:v>
      </x:c>
      <x:c r="B27" s="46" t="n">
        <x:v>46076</x:v>
      </x:c>
      <x:c r="C27" s="47" t="str">
        <x:v>Line 2</x:v>
      </x:c>
      <x:c r="D27" s="47" t="str">
        <x:v>SHAFT-103</x:v>
      </x:c>
      <x:c r="E27" s="48" t="n">
        <x:v>20</x:v>
      </x:c>
      <x:c r="F27" s="48" t="n">
        <x:v>19.98</x:v>
      </x:c>
      <x:c r="G27" s="48" t="n">
        <x:v>19.9</x:v>
      </x:c>
      <x:c r="H27" s="48" t="n">
        <x:v>20.1</x:v>
      </x:c>
      <x:c r="I27" s="49" t="str">
        <x:f>IF(AND(F27&gt;=G27,F27&lt;=H27),"Pass","Fail")</x:f>
        <x:v>Pass</x:v>
      </x:c>
    </x:row>
    <x:row r="28">
      <x:c r="A28" s="50" t="str">
        <x:v>MFG-024</x:v>
      </x:c>
      <x:c r="B28" s="51" t="n">
        <x:v>46077</x:v>
      </x:c>
      <x:c r="C28" s="52" t="str">
        <x:v>Line 3</x:v>
      </x:c>
      <x:c r="D28" s="52" t="str">
        <x:v>SHAFT-104</x:v>
      </x:c>
      <x:c r="E28" s="53" t="n">
        <x:v>20</x:v>
      </x:c>
      <x:c r="F28" s="53" t="n">
        <x:v>20.05</x:v>
      </x:c>
      <x:c r="G28" s="53" t="n">
        <x:v>19.9</x:v>
      </x:c>
      <x:c r="H28" s="53" t="n">
        <x:v>20.1</x:v>
      </x:c>
      <x:c r="I28" s="54" t="str">
        <x:f>IF(AND(F28&gt;=G28,F28&lt;=H28),"Pass","Fail")</x:f>
        <x:v>Pass</x:v>
      </x:c>
    </x:row>
  </x:sheetData>
  <x:mergeCells>
    <x:mergeCell ref="A1:I1"/>
    <x:mergeCell ref="A2:I2"/>
  </x:mergeCells>
  <x:conditionalFormatting sqref="I5:I28">
    <x:cfRule type="containsText" dxfId="4" priority="1" operator="containsText" text="Pass"/>
    <x:cfRule type="containsText" dxfId="5" priority="2" operator="containsText" text="Fail"/>
    <x:cfRule type="containsText" dxfId="6" priority="3" operator="containsText" text="Review"/>
    <x:cfRule type="containsText" dxfId="7" priority="4" operator="containsText" text="Within Target"/>
  </x:conditionalFormatting>
  <x:pageMargins left="0.7" right="0.7" top="0.75" bottom="0.75" header="0.3" footer="0.3"/>
  <x:tableParts count="1">
    <x:tablePart xmlns:r="http://schemas.openxmlformats.org/officeDocument/2006/relationships" r:id="Recd065b63c5244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20" hidden="0" customWidth="1"/>
    <x:col min="8" max="8" width="14" hidden="0" customWidth="1"/>
    <x:col min="9" max="9" width="20" hidden="0" customWidth="1"/>
  </x:cols>
  <x:sheetData>
    <x:row r="1" ht="30" customHeight="1">
      <x:c r="A1" s="29" t="str">
        <x:v>Laboratory QA Quality Sample Data</x:v>
      </x:c>
      <x:c r="B1" s="29"/>
      <x:c r="C1" s="29"/>
      <x:c r="D1" s="29"/>
      <x:c r="E1" s="29"/>
      <x:c r="F1" s="29"/>
      <x:c r="G1" s="29"/>
      <x:c r="H1" s="29"/>
      <x:c r="I1" s="29"/>
    </x:row>
    <x:row r="2" ht="24" customHeight="1">
      <x:c r="A2" s="31" t="str">
        <x:v>Analytical laboratory result and control-limit monitoring</x:v>
      </x:c>
      <x:c r="B2" s="31"/>
      <x:c r="C2" s="31"/>
      <x:c r="D2" s="31"/>
      <x:c r="E2" s="31"/>
      <x:c r="F2" s="31"/>
      <x:c r="G2" s="31"/>
      <x:c r="H2" s="31"/>
      <x:c r="I2" s="31"/>
    </x:row>
    <x:row r="4" ht="34" customHeight="1">
      <x:c r="A4" s="35" t="str">
        <x:v>Sample_ID</x:v>
      </x:c>
      <x:c r="B4" s="36" t="str">
        <x:v>Analysis_Date</x:v>
      </x:c>
      <x:c r="C4" s="36" t="str">
        <x:v>Instrument_ID</x:v>
      </x:c>
      <x:c r="D4" s="36" t="str">
        <x:v>Analyte</x:v>
      </x:c>
      <x:c r="E4" s="36" t="str">
        <x:v>Result_mg_L</x:v>
      </x:c>
      <x:c r="F4" s="36" t="str">
        <x:v>Lower_Limit_mg_L</x:v>
      </x:c>
      <x:c r="G4" s="36" t="str">
        <x:v>Upper_Limit_mg_L</x:v>
      </x:c>
      <x:c r="H4" s="36" t="str">
        <x:v>Analyst_ID</x:v>
      </x:c>
      <x:c r="I4" s="37" t="str">
        <x:v>Conformance_Status</x:v>
      </x:c>
    </x:row>
    <x:row r="5">
      <x:c r="A5" s="40" t="str">
        <x:v>LAB-001</x:v>
      </x:c>
      <x:c r="B5" s="41" t="n">
        <x:v>46082</x:v>
      </x:c>
      <x:c r="C5" s="42" t="str">
        <x:v>HPLC-1</x:v>
      </x:c>
      <x:c r="D5" s="42" t="str">
        <x:v>Chloride</x:v>
      </x:c>
      <x:c r="E5" s="43" t="n">
        <x:v>46</x:v>
      </x:c>
      <x:c r="F5" s="43" t="n">
        <x:v>45</x:v>
      </x:c>
      <x:c r="G5" s="43" t="n">
        <x:v>55</x:v>
      </x:c>
      <x:c r="H5" s="42" t="str">
        <x:v>AN-1</x:v>
      </x:c>
      <x:c r="I5" s="44" t="str">
        <x:f>IF(AND(E5&gt;=F5,E5&lt;=G5),"Pass","Fail")</x:f>
        <x:v>Pass</x:v>
      </x:c>
    </x:row>
    <x:row r="6">
      <x:c r="A6" s="45" t="str">
        <x:v>LAB-002</x:v>
      </x:c>
      <x:c r="B6" s="46" t="n">
        <x:v>46083</x:v>
      </x:c>
      <x:c r="C6" s="47" t="str">
        <x:v>HPLC-2</x:v>
      </x:c>
      <x:c r="D6" s="47" t="str">
        <x:v>Nitrate</x:v>
      </x:c>
      <x:c r="E6" s="48" t="n">
        <x:v>47.3</x:v>
      </x:c>
      <x:c r="F6" s="48" t="n">
        <x:v>45</x:v>
      </x:c>
      <x:c r="G6" s="48" t="n">
        <x:v>55</x:v>
      </x:c>
      <x:c r="H6" s="47" t="str">
        <x:v>AN-2</x:v>
      </x:c>
      <x:c r="I6" s="49" t="str">
        <x:f>IF(AND(E6&gt;=F6,E6&lt;=G6),"Pass","Fail")</x:f>
        <x:v>Pass</x:v>
      </x:c>
    </x:row>
    <x:row r="7">
      <x:c r="A7" s="45" t="str">
        <x:v>LAB-003</x:v>
      </x:c>
      <x:c r="B7" s="46" t="n">
        <x:v>46084</x:v>
      </x:c>
      <x:c r="C7" s="47" t="str">
        <x:v>HPLC-1</x:v>
      </x:c>
      <x:c r="D7" s="47" t="str">
        <x:v>Sulphate</x:v>
      </x:c>
      <x:c r="E7" s="48" t="n">
        <x:v>48.6</x:v>
      </x:c>
      <x:c r="F7" s="48" t="n">
        <x:v>45</x:v>
      </x:c>
      <x:c r="G7" s="48" t="n">
        <x:v>55</x:v>
      </x:c>
      <x:c r="H7" s="47" t="str">
        <x:v>AN-3</x:v>
      </x:c>
      <x:c r="I7" s="49" t="str">
        <x:f>IF(AND(E7&gt;=F7,E7&lt;=G7),"Pass","Fail")</x:f>
        <x:v>Pass</x:v>
      </x:c>
    </x:row>
    <x:row r="8">
      <x:c r="A8" s="45" t="str">
        <x:v>LAB-004</x:v>
      </x:c>
      <x:c r="B8" s="46" t="n">
        <x:v>46085</x:v>
      </x:c>
      <x:c r="C8" s="47" t="str">
        <x:v>HPLC-2</x:v>
      </x:c>
      <x:c r="D8" s="47" t="str">
        <x:v>Chloride</x:v>
      </x:c>
      <x:c r="E8" s="48" t="n">
        <x:v>49.9</x:v>
      </x:c>
      <x:c r="F8" s="48" t="n">
        <x:v>45</x:v>
      </x:c>
      <x:c r="G8" s="48" t="n">
        <x:v>55</x:v>
      </x:c>
      <x:c r="H8" s="47" t="str">
        <x:v>AN-4</x:v>
      </x:c>
      <x:c r="I8" s="49" t="str">
        <x:f>IF(AND(E8&gt;=F8,E8&lt;=G8),"Pass","Fail")</x:f>
        <x:v>Pass</x:v>
      </x:c>
    </x:row>
    <x:row r="9">
      <x:c r="A9" s="45" t="str">
        <x:v>LAB-005</x:v>
      </x:c>
      <x:c r="B9" s="46" t="n">
        <x:v>46086</x:v>
      </x:c>
      <x:c r="C9" s="47" t="str">
        <x:v>HPLC-1</x:v>
      </x:c>
      <x:c r="D9" s="47" t="str">
        <x:v>Nitrate</x:v>
      </x:c>
      <x:c r="E9" s="48" t="n">
        <x:v>51.2</x:v>
      </x:c>
      <x:c r="F9" s="48" t="n">
        <x:v>45</x:v>
      </x:c>
      <x:c r="G9" s="48" t="n">
        <x:v>55</x:v>
      </x:c>
      <x:c r="H9" s="47" t="str">
        <x:v>AN-1</x:v>
      </x:c>
      <x:c r="I9" s="49" t="str">
        <x:f>IF(AND(E9&gt;=F9,E9&lt;=G9),"Pass","Fail")</x:f>
        <x:v>Pass</x:v>
      </x:c>
    </x:row>
    <x:row r="10">
      <x:c r="A10" s="45" t="str">
        <x:v>LAB-006</x:v>
      </x:c>
      <x:c r="B10" s="46" t="n">
        <x:v>46087</x:v>
      </x:c>
      <x:c r="C10" s="47" t="str">
        <x:v>HPLC-2</x:v>
      </x:c>
      <x:c r="D10" s="47" t="str">
        <x:v>Sulphate</x:v>
      </x:c>
      <x:c r="E10" s="48" t="n">
        <x:v>52.5</x:v>
      </x:c>
      <x:c r="F10" s="48" t="n">
        <x:v>45</x:v>
      </x:c>
      <x:c r="G10" s="48" t="n">
        <x:v>55</x:v>
      </x:c>
      <x:c r="H10" s="47" t="str">
        <x:v>AN-2</x:v>
      </x:c>
      <x:c r="I10" s="49" t="str">
        <x:f>IF(AND(E10&gt;=F10,E10&lt;=G10),"Pass","Fail")</x:f>
        <x:v>Pass</x:v>
      </x:c>
    </x:row>
    <x:row r="11">
      <x:c r="A11" s="45" t="str">
        <x:v>LAB-007</x:v>
      </x:c>
      <x:c r="B11" s="46" t="n">
        <x:v>46088</x:v>
      </x:c>
      <x:c r="C11" s="47" t="str">
        <x:v>HPLC-1</x:v>
      </x:c>
      <x:c r="D11" s="47" t="str">
        <x:v>Chloride</x:v>
      </x:c>
      <x:c r="E11" s="48" t="n">
        <x:v>53.8</x:v>
      </x:c>
      <x:c r="F11" s="48" t="n">
        <x:v>45</x:v>
      </x:c>
      <x:c r="G11" s="48" t="n">
        <x:v>55</x:v>
      </x:c>
      <x:c r="H11" s="47" t="str">
        <x:v>AN-3</x:v>
      </x:c>
      <x:c r="I11" s="49" t="str">
        <x:f>IF(AND(E11&gt;=F11,E11&lt;=G11),"Pass","Fail")</x:f>
        <x:v>Pass</x:v>
      </x:c>
    </x:row>
    <x:row r="12">
      <x:c r="A12" s="45" t="str">
        <x:v>LAB-008</x:v>
      </x:c>
      <x:c r="B12" s="46" t="n">
        <x:v>46089</x:v>
      </x:c>
      <x:c r="C12" s="47" t="str">
        <x:v>HPLC-2</x:v>
      </x:c>
      <x:c r="D12" s="47" t="str">
        <x:v>Nitrate</x:v>
      </x:c>
      <x:c r="E12" s="48" t="n">
        <x:v>46.1</x:v>
      </x:c>
      <x:c r="F12" s="48" t="n">
        <x:v>45</x:v>
      </x:c>
      <x:c r="G12" s="48" t="n">
        <x:v>55</x:v>
      </x:c>
      <x:c r="H12" s="47" t="str">
        <x:v>AN-4</x:v>
      </x:c>
      <x:c r="I12" s="49" t="str">
        <x:f>IF(AND(E12&gt;=F12,E12&lt;=G12),"Pass","Fail")</x:f>
        <x:v>Pass</x:v>
      </x:c>
    </x:row>
    <x:row r="13">
      <x:c r="A13" s="45" t="str">
        <x:v>LAB-009</x:v>
      </x:c>
      <x:c r="B13" s="46" t="n">
        <x:v>46090</x:v>
      </x:c>
      <x:c r="C13" s="47" t="str">
        <x:v>HPLC-1</x:v>
      </x:c>
      <x:c r="D13" s="47" t="str">
        <x:v>Sulphate</x:v>
      </x:c>
      <x:c r="E13" s="48" t="n">
        <x:v>47.4</x:v>
      </x:c>
      <x:c r="F13" s="48" t="n">
        <x:v>45</x:v>
      </x:c>
      <x:c r="G13" s="48" t="n">
        <x:v>55</x:v>
      </x:c>
      <x:c r="H13" s="47" t="str">
        <x:v>AN-1</x:v>
      </x:c>
      <x:c r="I13" s="49" t="str">
        <x:f>IF(AND(E13&gt;=F13,E13&lt;=G13),"Pass","Fail")</x:f>
        <x:v>Pass</x:v>
      </x:c>
    </x:row>
    <x:row r="14">
      <x:c r="A14" s="45" t="str">
        <x:v>LAB-010</x:v>
      </x:c>
      <x:c r="B14" s="46" t="n">
        <x:v>46091</x:v>
      </x:c>
      <x:c r="C14" s="47" t="str">
        <x:v>HPLC-2</x:v>
      </x:c>
      <x:c r="D14" s="47" t="str">
        <x:v>Chloride</x:v>
      </x:c>
      <x:c r="E14" s="48" t="n">
        <x:v>48.7</x:v>
      </x:c>
      <x:c r="F14" s="48" t="n">
        <x:v>45</x:v>
      </x:c>
      <x:c r="G14" s="48" t="n">
        <x:v>55</x:v>
      </x:c>
      <x:c r="H14" s="47" t="str">
        <x:v>AN-2</x:v>
      </x:c>
      <x:c r="I14" s="49" t="str">
        <x:f>IF(AND(E14&gt;=F14,E14&lt;=G14),"Pass","Fail")</x:f>
        <x:v>Pass</x:v>
      </x:c>
    </x:row>
    <x:row r="15">
      <x:c r="A15" s="45" t="str">
        <x:v>LAB-011</x:v>
      </x:c>
      <x:c r="B15" s="46" t="n">
        <x:v>46092</x:v>
      </x:c>
      <x:c r="C15" s="47" t="str">
        <x:v>HPLC-1</x:v>
      </x:c>
      <x:c r="D15" s="47" t="str">
        <x:v>Nitrate</x:v>
      </x:c>
      <x:c r="E15" s="48" t="n">
        <x:v>50</x:v>
      </x:c>
      <x:c r="F15" s="48" t="n">
        <x:v>45</x:v>
      </x:c>
      <x:c r="G15" s="48" t="n">
        <x:v>55</x:v>
      </x:c>
      <x:c r="H15" s="47" t="str">
        <x:v>AN-3</x:v>
      </x:c>
      <x:c r="I15" s="49" t="str">
        <x:f>IF(AND(E15&gt;=F15,E15&lt;=G15),"Pass","Fail")</x:f>
        <x:v>Pass</x:v>
      </x:c>
    </x:row>
    <x:row r="16">
      <x:c r="A16" s="45" t="str">
        <x:v>LAB-012</x:v>
      </x:c>
      <x:c r="B16" s="46" t="n">
        <x:v>46093</x:v>
      </x:c>
      <x:c r="C16" s="47" t="str">
        <x:v>HPLC-2</x:v>
      </x:c>
      <x:c r="D16" s="47" t="str">
        <x:v>Sulphate</x:v>
      </x:c>
      <x:c r="E16" s="48" t="n">
        <x:v>51.3</x:v>
      </x:c>
      <x:c r="F16" s="48" t="n">
        <x:v>45</x:v>
      </x:c>
      <x:c r="G16" s="48" t="n">
        <x:v>55</x:v>
      </x:c>
      <x:c r="H16" s="47" t="str">
        <x:v>AN-4</x:v>
      </x:c>
      <x:c r="I16" s="49" t="str">
        <x:f>IF(AND(E16&gt;=F16,E16&lt;=G16),"Pass","Fail")</x:f>
        <x:v>Pass</x:v>
      </x:c>
    </x:row>
    <x:row r="17">
      <x:c r="A17" s="45" t="str">
        <x:v>LAB-013</x:v>
      </x:c>
      <x:c r="B17" s="46" t="n">
        <x:v>46094</x:v>
      </x:c>
      <x:c r="C17" s="47" t="str">
        <x:v>HPLC-1</x:v>
      </x:c>
      <x:c r="D17" s="47" t="str">
        <x:v>Chloride</x:v>
      </x:c>
      <x:c r="E17" s="48" t="n">
        <x:v>52.6</x:v>
      </x:c>
      <x:c r="F17" s="48" t="n">
        <x:v>45</x:v>
      </x:c>
      <x:c r="G17" s="48" t="n">
        <x:v>55</x:v>
      </x:c>
      <x:c r="H17" s="47" t="str">
        <x:v>AN-1</x:v>
      </x:c>
      <x:c r="I17" s="49" t="str">
        <x:f>IF(AND(E17&gt;=F17,E17&lt;=G17),"Pass","Fail")</x:f>
        <x:v>Pass</x:v>
      </x:c>
    </x:row>
    <x:row r="18">
      <x:c r="A18" s="45" t="str">
        <x:v>LAB-014</x:v>
      </x:c>
      <x:c r="B18" s="46" t="n">
        <x:v>46095</x:v>
      </x:c>
      <x:c r="C18" s="47" t="str">
        <x:v>HPLC-2</x:v>
      </x:c>
      <x:c r="D18" s="47" t="str">
        <x:v>Nitrate</x:v>
      </x:c>
      <x:c r="E18" s="48" t="n">
        <x:v>53.9</x:v>
      </x:c>
      <x:c r="F18" s="48" t="n">
        <x:v>45</x:v>
      </x:c>
      <x:c r="G18" s="48" t="n">
        <x:v>55</x:v>
      </x:c>
      <x:c r="H18" s="47" t="str">
        <x:v>AN-2</x:v>
      </x:c>
      <x:c r="I18" s="49" t="str">
        <x:f>IF(AND(E18&gt;=F18,E18&lt;=G18),"Pass","Fail")</x:f>
        <x:v>Pass</x:v>
      </x:c>
    </x:row>
    <x:row r="19">
      <x:c r="A19" s="45" t="str">
        <x:v>LAB-015</x:v>
      </x:c>
      <x:c r="B19" s="46" t="n">
        <x:v>46096</x:v>
      </x:c>
      <x:c r="C19" s="47" t="str">
        <x:v>HPLC-1</x:v>
      </x:c>
      <x:c r="D19" s="47" t="str">
        <x:v>Sulphate</x:v>
      </x:c>
      <x:c r="E19" s="48" t="n">
        <x:v>46.2</x:v>
      </x:c>
      <x:c r="F19" s="48" t="n">
        <x:v>45</x:v>
      </x:c>
      <x:c r="G19" s="48" t="n">
        <x:v>55</x:v>
      </x:c>
      <x:c r="H19" s="47" t="str">
        <x:v>AN-3</x:v>
      </x:c>
      <x:c r="I19" s="49" t="str">
        <x:f>IF(AND(E19&gt;=F19,E19&lt;=G19),"Pass","Fail")</x:f>
        <x:v>Pass</x:v>
      </x:c>
    </x:row>
    <x:row r="20">
      <x:c r="A20" s="45" t="str">
        <x:v>LAB-016</x:v>
      </x:c>
      <x:c r="B20" s="46" t="n">
        <x:v>46097</x:v>
      </x:c>
      <x:c r="C20" s="47" t="str">
        <x:v>HPLC-2</x:v>
      </x:c>
      <x:c r="D20" s="47" t="str">
        <x:v>Chloride</x:v>
      </x:c>
      <x:c r="E20" s="48" t="n">
        <x:v>47.5</x:v>
      </x:c>
      <x:c r="F20" s="48" t="n">
        <x:v>45</x:v>
      </x:c>
      <x:c r="G20" s="48" t="n">
        <x:v>55</x:v>
      </x:c>
      <x:c r="H20" s="47" t="str">
        <x:v>AN-4</x:v>
      </x:c>
      <x:c r="I20" s="49" t="str">
        <x:f>IF(AND(E20&gt;=F20,E20&lt;=G20),"Pass","Fail")</x:f>
        <x:v>Pass</x:v>
      </x:c>
    </x:row>
    <x:row r="21">
      <x:c r="A21" s="45" t="str">
        <x:v>LAB-017</x:v>
      </x:c>
      <x:c r="B21" s="46" t="n">
        <x:v>46098</x:v>
      </x:c>
      <x:c r="C21" s="47" t="str">
        <x:v>HPLC-1</x:v>
      </x:c>
      <x:c r="D21" s="47" t="str">
        <x:v>Nitrate</x:v>
      </x:c>
      <x:c r="E21" s="48" t="n">
        <x:v>48.8</x:v>
      </x:c>
      <x:c r="F21" s="48" t="n">
        <x:v>45</x:v>
      </x:c>
      <x:c r="G21" s="48" t="n">
        <x:v>55</x:v>
      </x:c>
      <x:c r="H21" s="47" t="str">
        <x:v>AN-1</x:v>
      </x:c>
      <x:c r="I21" s="49" t="str">
        <x:f>IF(AND(E21&gt;=F21,E21&lt;=G21),"Pass","Fail")</x:f>
        <x:v>Pass</x:v>
      </x:c>
    </x:row>
    <x:row r="22">
      <x:c r="A22" s="45" t="str">
        <x:v>LAB-018</x:v>
      </x:c>
      <x:c r="B22" s="46" t="n">
        <x:v>46099</x:v>
      </x:c>
      <x:c r="C22" s="47" t="str">
        <x:v>HPLC-2</x:v>
      </x:c>
      <x:c r="D22" s="47" t="str">
        <x:v>Sulphate</x:v>
      </x:c>
      <x:c r="E22" s="48" t="n">
        <x:v>50.1</x:v>
      </x:c>
      <x:c r="F22" s="48" t="n">
        <x:v>45</x:v>
      </x:c>
      <x:c r="G22" s="48" t="n">
        <x:v>55</x:v>
      </x:c>
      <x:c r="H22" s="47" t="str">
        <x:v>AN-2</x:v>
      </x:c>
      <x:c r="I22" s="49" t="str">
        <x:f>IF(AND(E22&gt;=F22,E22&lt;=G22),"Pass","Fail")</x:f>
        <x:v>Pass</x:v>
      </x:c>
    </x:row>
    <x:row r="23">
      <x:c r="A23" s="45" t="str">
        <x:v>LAB-019</x:v>
      </x:c>
      <x:c r="B23" s="46" t="n">
        <x:v>46100</x:v>
      </x:c>
      <x:c r="C23" s="47" t="str">
        <x:v>HPLC-1</x:v>
      </x:c>
      <x:c r="D23" s="47" t="str">
        <x:v>Chloride</x:v>
      </x:c>
      <x:c r="E23" s="48" t="n">
        <x:v>51.4</x:v>
      </x:c>
      <x:c r="F23" s="48" t="n">
        <x:v>45</x:v>
      </x:c>
      <x:c r="G23" s="48" t="n">
        <x:v>55</x:v>
      </x:c>
      <x:c r="H23" s="47" t="str">
        <x:v>AN-3</x:v>
      </x:c>
      <x:c r="I23" s="49" t="str">
        <x:f>IF(AND(E23&gt;=F23,E23&lt;=G23),"Pass","Fail")</x:f>
        <x:v>Pass</x:v>
      </x:c>
    </x:row>
    <x:row r="24">
      <x:c r="A24" s="45" t="str">
        <x:v>LAB-020</x:v>
      </x:c>
      <x:c r="B24" s="46" t="n">
        <x:v>46101</x:v>
      </x:c>
      <x:c r="C24" s="47" t="str">
        <x:v>HPLC-2</x:v>
      </x:c>
      <x:c r="D24" s="47" t="str">
        <x:v>Nitrate</x:v>
      </x:c>
      <x:c r="E24" s="48" t="n">
        <x:v>52.7</x:v>
      </x:c>
      <x:c r="F24" s="48" t="n">
        <x:v>45</x:v>
      </x:c>
      <x:c r="G24" s="48" t="n">
        <x:v>55</x:v>
      </x:c>
      <x:c r="H24" s="47" t="str">
        <x:v>AN-4</x:v>
      </x:c>
      <x:c r="I24" s="49" t="str">
        <x:f>IF(AND(E24&gt;=F24,E24&lt;=G24),"Pass","Fail")</x:f>
        <x:v>Pass</x:v>
      </x:c>
    </x:row>
    <x:row r="25">
      <x:c r="A25" s="45" t="str">
        <x:v>LAB-021</x:v>
      </x:c>
      <x:c r="B25" s="46" t="n">
        <x:v>46102</x:v>
      </x:c>
      <x:c r="C25" s="47" t="str">
        <x:v>HPLC-1</x:v>
      </x:c>
      <x:c r="D25" s="47" t="str">
        <x:v>Sulphate</x:v>
      </x:c>
      <x:c r="E25" s="48" t="n">
        <x:v>54</x:v>
      </x:c>
      <x:c r="F25" s="48" t="n">
        <x:v>45</x:v>
      </x:c>
      <x:c r="G25" s="48" t="n">
        <x:v>55</x:v>
      </x:c>
      <x:c r="H25" s="47" t="str">
        <x:v>AN-1</x:v>
      </x:c>
      <x:c r="I25" s="49" t="str">
        <x:f>IF(AND(E25&gt;=F25,E25&lt;=G25),"Pass","Fail")</x:f>
        <x:v>Pass</x:v>
      </x:c>
    </x:row>
    <x:row r="26">
      <x:c r="A26" s="45" t="str">
        <x:v>LAB-022</x:v>
      </x:c>
      <x:c r="B26" s="46" t="n">
        <x:v>46103</x:v>
      </x:c>
      <x:c r="C26" s="47" t="str">
        <x:v>HPLC-2</x:v>
      </x:c>
      <x:c r="D26" s="47" t="str">
        <x:v>Chloride</x:v>
      </x:c>
      <x:c r="E26" s="48" t="n">
        <x:v>46.3</x:v>
      </x:c>
      <x:c r="F26" s="48" t="n">
        <x:v>45</x:v>
      </x:c>
      <x:c r="G26" s="48" t="n">
        <x:v>55</x:v>
      </x:c>
      <x:c r="H26" s="47" t="str">
        <x:v>AN-2</x:v>
      </x:c>
      <x:c r="I26" s="49" t="str">
        <x:f>IF(AND(E26&gt;=F26,E26&lt;=G26),"Pass","Fail")</x:f>
        <x:v>Pass</x:v>
      </x:c>
    </x:row>
    <x:row r="27">
      <x:c r="A27" s="45" t="str">
        <x:v>LAB-023</x:v>
      </x:c>
      <x:c r="B27" s="46" t="n">
        <x:v>46104</x:v>
      </x:c>
      <x:c r="C27" s="47" t="str">
        <x:v>HPLC-1</x:v>
      </x:c>
      <x:c r="D27" s="47" t="str">
        <x:v>Nitrate</x:v>
      </x:c>
      <x:c r="E27" s="48" t="n">
        <x:v>47.6</x:v>
      </x:c>
      <x:c r="F27" s="48" t="n">
        <x:v>45</x:v>
      </x:c>
      <x:c r="G27" s="48" t="n">
        <x:v>55</x:v>
      </x:c>
      <x:c r="H27" s="47" t="str">
        <x:v>AN-3</x:v>
      </x:c>
      <x:c r="I27" s="49" t="str">
        <x:f>IF(AND(E27&gt;=F27,E27&lt;=G27),"Pass","Fail")</x:f>
        <x:v>Pass</x:v>
      </x:c>
    </x:row>
    <x:row r="28">
      <x:c r="A28" s="50" t="str">
        <x:v>LAB-024</x:v>
      </x:c>
      <x:c r="B28" s="51" t="n">
        <x:v>46105</x:v>
      </x:c>
      <x:c r="C28" s="52" t="str">
        <x:v>HPLC-2</x:v>
      </x:c>
      <x:c r="D28" s="52" t="str">
        <x:v>Sulphate</x:v>
      </x:c>
      <x:c r="E28" s="53" t="n">
        <x:v>48.9</x:v>
      </x:c>
      <x:c r="F28" s="53" t="n">
        <x:v>45</x:v>
      </x:c>
      <x:c r="G28" s="53" t="n">
        <x:v>55</x:v>
      </x:c>
      <x:c r="H28" s="52" t="str">
        <x:v>AN-4</x:v>
      </x:c>
      <x:c r="I28" s="54" t="str">
        <x:f>IF(AND(E28&gt;=F28,E28&lt;=G28),"Pass","Fail")</x:f>
        <x:v>Pass</x:v>
      </x:c>
    </x:row>
  </x:sheetData>
  <x:mergeCells>
    <x:mergeCell ref="A1:I1"/>
    <x:mergeCell ref="A2:I2"/>
  </x:mergeCells>
  <x:conditionalFormatting sqref="I5:I28">
    <x:cfRule type="containsText" dxfId="8" priority="1" operator="containsText" text="Pass"/>
    <x:cfRule type="containsText" dxfId="9" priority="2" operator="containsText" text="Fail"/>
    <x:cfRule type="containsText" dxfId="10" priority="3" operator="containsText" text="Review"/>
    <x:cfRule type="containsText" dxfId="11" priority="4" operator="containsText" text="Within Target"/>
  </x:conditionalFormatting>
  <x:pageMargins left="0.7" right="0.7" top="0.75" bottom="0.75" header="0.3" footer="0.3"/>
  <x:tableParts count="1">
    <x:tablePart xmlns:r="http://schemas.openxmlformats.org/officeDocument/2006/relationships" r:id="R23751ad3dccb4c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7" hidden="0" customWidth="1"/>
    <x:col min="5" max="5" width="17" hidden="0" customWidth="1"/>
    <x:col min="6" max="6" width="23" hidden="0" customWidth="1"/>
    <x:col min="7" max="7" width="18" hidden="0" customWidth="1"/>
    <x:col min="8" max="8" width="20" hidden="0" customWidth="1"/>
    <x:col min="9" max="9" width="20" hidden="0" customWidth="1"/>
  </x:cols>
  <x:sheetData>
    <x:row r="1" ht="30" customHeight="1">
      <x:c r="A1" s="29" t="str">
        <x:v>Healthcare Quality Sample Data</x:v>
      </x:c>
      <x:c r="B1" s="29"/>
      <x:c r="C1" s="29"/>
      <x:c r="D1" s="29"/>
      <x:c r="E1" s="29"/>
      <x:c r="F1" s="29"/>
      <x:c r="G1" s="29"/>
      <x:c r="H1" s="29"/>
      <x:c r="I1" s="29"/>
    </x:row>
    <x:row r="2" ht="24" customHeight="1">
      <x:c r="A2" s="31" t="str">
        <x:v>De-identified operational quality indicators (not for clinical decisions)</x:v>
      </x:c>
      <x:c r="B2" s="31"/>
      <x:c r="C2" s="31"/>
      <x:c r="D2" s="31"/>
      <x:c r="E2" s="31"/>
      <x:c r="F2" s="31"/>
      <x:c r="G2" s="31"/>
      <x:c r="H2" s="31"/>
      <x:c r="I2" s="31"/>
    </x:row>
    <x:row r="4" ht="34" customHeight="1">
      <x:c r="A4" s="35" t="str">
        <x:v>Encounter_ID</x:v>
      </x:c>
      <x:c r="B4" s="36" t="str">
        <x:v>Encounter_Date</x:v>
      </x:c>
      <x:c r="C4" s="36" t="str">
        <x:v>Facility</x:v>
      </x:c>
      <x:c r="D4" s="36" t="str">
        <x:v>Department</x:v>
      </x:c>
      <x:c r="E4" s="36" t="str">
        <x:v>Wait_Time_min</x:v>
      </x:c>
      <x:c r="F4" s="36" t="str">
        <x:v>Target_Wait_Time_min</x:v>
      </x:c>
      <x:c r="G4" s="36" t="str">
        <x:v>Readmission_30d</x:v>
      </x:c>
      <x:c r="H4" s="36" t="str">
        <x:v>Data_Quality_Flag</x:v>
      </x:c>
      <x:c r="I4" s="37" t="str">
        <x:v>Conformance_Status</x:v>
      </x:c>
    </x:row>
    <x:row r="5">
      <x:c r="A5" s="40" t="str">
        <x:v>ENC-0001</x:v>
      </x:c>
      <x:c r="B5" s="41" t="n">
        <x:v>46113</x:v>
      </x:c>
      <x:c r="C5" s="42" t="str">
        <x:v>Facility 1</x:v>
      </x:c>
      <x:c r="D5" s="42" t="str">
        <x:v>Outpatient</x:v>
      </x:c>
      <x:c r="E5" s="43" t="n">
        <x:v>14</x:v>
      </x:c>
      <x:c r="F5" s="43" t="n">
        <x:v>30</x:v>
      </x:c>
      <x:c r="G5" s="42" t="str">
        <x:v>Yes</x:v>
      </x:c>
      <x:c r="H5" s="42" t="str">
        <x:v>Complete</x:v>
      </x:c>
      <x:c r="I5" s="44" t="str">
        <x:f>IF(AND(E5&lt;=F5,H5="Complete"),"Within Target","Review")</x:f>
        <x:v>Within Target</x:v>
      </x:c>
    </x:row>
    <x:row r="6">
      <x:c r="A6" s="45" t="str">
        <x:v>ENC-0002</x:v>
      </x:c>
      <x:c r="B6" s="46" t="n">
        <x:v>46114</x:v>
      </x:c>
      <x:c r="C6" s="47" t="str">
        <x:v>Facility 2</x:v>
      </x:c>
      <x:c r="D6" s="47" t="str">
        <x:v>Emergency</x:v>
      </x:c>
      <x:c r="E6" s="48" t="n">
        <x:v>25</x:v>
      </x:c>
      <x:c r="F6" s="48" t="n">
        <x:v>30</x:v>
      </x:c>
      <x:c r="G6" s="47" t="str">
        <x:v>No</x:v>
      </x:c>
      <x:c r="H6" s="47" t="str">
        <x:v>Complete</x:v>
      </x:c>
      <x:c r="I6" s="49" t="str">
        <x:f>IF(AND(E6&lt;=F6,H6="Complete"),"Within Target","Review")</x:f>
        <x:v>Within Target</x:v>
      </x:c>
    </x:row>
    <x:row r="7">
      <x:c r="A7" s="45" t="str">
        <x:v>ENC-0003</x:v>
      </x:c>
      <x:c r="B7" s="46" t="n">
        <x:v>46115</x:v>
      </x:c>
      <x:c r="C7" s="47" t="str">
        <x:v>Facility 1</x:v>
      </x:c>
      <x:c r="D7" s="47" t="str">
        <x:v>Diagnostics</x:v>
      </x:c>
      <x:c r="E7" s="48" t="n">
        <x:v>36</x:v>
      </x:c>
      <x:c r="F7" s="48" t="n">
        <x:v>30</x:v>
      </x:c>
      <x:c r="G7" s="47" t="str">
        <x:v>No</x:v>
      </x:c>
      <x:c r="H7" s="47" t="str">
        <x:v>Complete</x:v>
      </x:c>
      <x:c r="I7" s="49" t="str">
        <x:f>IF(AND(E7&lt;=F7,H7="Complete"),"Within Target","Review")</x:f>
        <x:v>Review</x:v>
      </x:c>
    </x:row>
    <x:row r="8">
      <x:c r="A8" s="45" t="str">
        <x:v>ENC-0004</x:v>
      </x:c>
      <x:c r="B8" s="46" t="n">
        <x:v>46116</x:v>
      </x:c>
      <x:c r="C8" s="47" t="str">
        <x:v>Facility 2</x:v>
      </x:c>
      <x:c r="D8" s="47" t="str">
        <x:v>Outpatient</x:v>
      </x:c>
      <x:c r="E8" s="48" t="n">
        <x:v>47</x:v>
      </x:c>
      <x:c r="F8" s="48" t="n">
        <x:v>30</x:v>
      </x:c>
      <x:c r="G8" s="47" t="str">
        <x:v>No</x:v>
      </x:c>
      <x:c r="H8" s="47" t="str">
        <x:v>Complete</x:v>
      </x:c>
      <x:c r="I8" s="49" t="str">
        <x:f>IF(AND(E8&lt;=F8,H8="Complete"),"Within Target","Review")</x:f>
        <x:v>Review</x:v>
      </x:c>
    </x:row>
    <x:row r="9">
      <x:c r="A9" s="45" t="str">
        <x:v>ENC-0005</x:v>
      </x:c>
      <x:c r="B9" s="46" t="n">
        <x:v>46117</x:v>
      </x:c>
      <x:c r="C9" s="47" t="str">
        <x:v>Facility 1</x:v>
      </x:c>
      <x:c r="D9" s="47" t="str">
        <x:v>Emergency</x:v>
      </x:c>
      <x:c r="E9" s="48" t="n">
        <x:v>20</x:v>
      </x:c>
      <x:c r="F9" s="48" t="n">
        <x:v>30</x:v>
      </x:c>
      <x:c r="G9" s="47" t="str">
        <x:v>No</x:v>
      </x:c>
      <x:c r="H9" s="47" t="str">
        <x:v>Complete</x:v>
      </x:c>
      <x:c r="I9" s="49" t="str">
        <x:f>IF(AND(E9&lt;=F9,H9="Complete"),"Within Target","Review")</x:f>
        <x:v>Within Target</x:v>
      </x:c>
    </x:row>
    <x:row r="10">
      <x:c r="A10" s="45" t="str">
        <x:v>ENC-0006</x:v>
      </x:c>
      <x:c r="B10" s="46" t="n">
        <x:v>46118</x:v>
      </x:c>
      <x:c r="C10" s="47" t="str">
        <x:v>Facility 2</x:v>
      </x:c>
      <x:c r="D10" s="47" t="str">
        <x:v>Diagnostics</x:v>
      </x:c>
      <x:c r="E10" s="48" t="n">
        <x:v>31</x:v>
      </x:c>
      <x:c r="F10" s="48" t="n">
        <x:v>30</x:v>
      </x:c>
      <x:c r="G10" s="47" t="str">
        <x:v>No</x:v>
      </x:c>
      <x:c r="H10" s="47" t="str">
        <x:v>Complete</x:v>
      </x:c>
      <x:c r="I10" s="49" t="str">
        <x:f>IF(AND(E10&lt;=F10,H10="Complete"),"Within Target","Review")</x:f>
        <x:v>Review</x:v>
      </x:c>
    </x:row>
    <x:row r="11">
      <x:c r="A11" s="45" t="str">
        <x:v>ENC-0007</x:v>
      </x:c>
      <x:c r="B11" s="46" t="n">
        <x:v>46119</x:v>
      </x:c>
      <x:c r="C11" s="47" t="str">
        <x:v>Facility 1</x:v>
      </x:c>
      <x:c r="D11" s="47" t="str">
        <x:v>Outpatient</x:v>
      </x:c>
      <x:c r="E11" s="48" t="n">
        <x:v>42</x:v>
      </x:c>
      <x:c r="F11" s="48" t="n">
        <x:v>30</x:v>
      </x:c>
      <x:c r="G11" s="47" t="str">
        <x:v>No</x:v>
      </x:c>
      <x:c r="H11" s="47" t="str">
        <x:v>Complete</x:v>
      </x:c>
      <x:c r="I11" s="49" t="str">
        <x:f>IF(AND(E11&lt;=F11,H11="Complete"),"Within Target","Review")</x:f>
        <x:v>Review</x:v>
      </x:c>
    </x:row>
    <x:row r="12">
      <x:c r="A12" s="45" t="str">
        <x:v>ENC-0008</x:v>
      </x:c>
      <x:c r="B12" s="46" t="n">
        <x:v>46120</x:v>
      </x:c>
      <x:c r="C12" s="47" t="str">
        <x:v>Facility 2</x:v>
      </x:c>
      <x:c r="D12" s="47" t="str">
        <x:v>Emergency</x:v>
      </x:c>
      <x:c r="E12" s="48" t="n">
        <x:v>15</x:v>
      </x:c>
      <x:c r="F12" s="48" t="n">
        <x:v>30</x:v>
      </x:c>
      <x:c r="G12" s="47" t="str">
        <x:v>No</x:v>
      </x:c>
      <x:c r="H12" s="47" t="str">
        <x:v>Complete</x:v>
      </x:c>
      <x:c r="I12" s="49" t="str">
        <x:f>IF(AND(E12&lt;=F12,H12="Complete"),"Within Target","Review")</x:f>
        <x:v>Within Target</x:v>
      </x:c>
    </x:row>
    <x:row r="13">
      <x:c r="A13" s="45" t="str">
        <x:v>ENC-0009</x:v>
      </x:c>
      <x:c r="B13" s="46" t="n">
        <x:v>46121</x:v>
      </x:c>
      <x:c r="C13" s="47" t="str">
        <x:v>Facility 1</x:v>
      </x:c>
      <x:c r="D13" s="47" t="str">
        <x:v>Diagnostics</x:v>
      </x:c>
      <x:c r="E13" s="48" t="n">
        <x:v>26</x:v>
      </x:c>
      <x:c r="F13" s="48" t="n">
        <x:v>30</x:v>
      </x:c>
      <x:c r="G13" s="47" t="str">
        <x:v>No</x:v>
      </x:c>
      <x:c r="H13" s="47" t="str">
        <x:v>Complete</x:v>
      </x:c>
      <x:c r="I13" s="49" t="str">
        <x:f>IF(AND(E13&lt;=F13,H13="Complete"),"Within Target","Review")</x:f>
        <x:v>Within Target</x:v>
      </x:c>
    </x:row>
    <x:row r="14">
      <x:c r="A14" s="45" t="str">
        <x:v>ENC-0010</x:v>
      </x:c>
      <x:c r="B14" s="46" t="n">
        <x:v>46122</x:v>
      </x:c>
      <x:c r="C14" s="47" t="str">
        <x:v>Facility 2</x:v>
      </x:c>
      <x:c r="D14" s="47" t="str">
        <x:v>Outpatient</x:v>
      </x:c>
      <x:c r="E14" s="48" t="n">
        <x:v>37</x:v>
      </x:c>
      <x:c r="F14" s="48" t="n">
        <x:v>30</x:v>
      </x:c>
      <x:c r="G14" s="47" t="str">
        <x:v>Yes</x:v>
      </x:c>
      <x:c r="H14" s="47" t="str">
        <x:v>Complete</x:v>
      </x:c>
      <x:c r="I14" s="49" t="str">
        <x:f>IF(AND(E14&lt;=F14,H14="Complete"),"Within Target","Review")</x:f>
        <x:v>Review</x:v>
      </x:c>
    </x:row>
    <x:row r="15">
      <x:c r="A15" s="45" t="str">
        <x:v>ENC-0011</x:v>
      </x:c>
      <x:c r="B15" s="46" t="n">
        <x:v>46123</x:v>
      </x:c>
      <x:c r="C15" s="47" t="str">
        <x:v>Facility 1</x:v>
      </x:c>
      <x:c r="D15" s="47" t="str">
        <x:v>Emergency</x:v>
      </x:c>
      <x:c r="E15" s="48" t="n">
        <x:v>48</x:v>
      </x:c>
      <x:c r="F15" s="48" t="n">
        <x:v>30</x:v>
      </x:c>
      <x:c r="G15" s="47" t="str">
        <x:v>No</x:v>
      </x:c>
      <x:c r="H15" s="47" t="str">
        <x:v>Complete</x:v>
      </x:c>
      <x:c r="I15" s="49" t="str">
        <x:f>IF(AND(E15&lt;=F15,H15="Complete"),"Within Target","Review")</x:f>
        <x:v>Review</x:v>
      </x:c>
    </x:row>
    <x:row r="16">
      <x:c r="A16" s="45" t="str">
        <x:v>ENC-0012</x:v>
      </x:c>
      <x:c r="B16" s="46" t="n">
        <x:v>46124</x:v>
      </x:c>
      <x:c r="C16" s="47" t="str">
        <x:v>Facility 2</x:v>
      </x:c>
      <x:c r="D16" s="47" t="str">
        <x:v>Diagnostics</x:v>
      </x:c>
      <x:c r="E16" s="48" t="n">
        <x:v>21</x:v>
      </x:c>
      <x:c r="F16" s="48" t="n">
        <x:v>30</x:v>
      </x:c>
      <x:c r="G16" s="47" t="str">
        <x:v>No</x:v>
      </x:c>
      <x:c r="H16" s="47" t="str">
        <x:v>Complete</x:v>
      </x:c>
      <x:c r="I16" s="49" t="str">
        <x:f>IF(AND(E16&lt;=F16,H16="Complete"),"Within Target","Review")</x:f>
        <x:v>Within Target</x:v>
      </x:c>
    </x:row>
    <x:row r="17">
      <x:c r="A17" s="45" t="str">
        <x:v>ENC-0013</x:v>
      </x:c>
      <x:c r="B17" s="46" t="n">
        <x:v>46125</x:v>
      </x:c>
      <x:c r="C17" s="47" t="str">
        <x:v>Facility 1</x:v>
      </x:c>
      <x:c r="D17" s="47" t="str">
        <x:v>Outpatient</x:v>
      </x:c>
      <x:c r="E17" s="48" t="n">
        <x:v>32</x:v>
      </x:c>
      <x:c r="F17" s="48" t="n">
        <x:v>30</x:v>
      </x:c>
      <x:c r="G17" s="47" t="str">
        <x:v>No</x:v>
      </x:c>
      <x:c r="H17" s="47" t="str">
        <x:v>Complete</x:v>
      </x:c>
      <x:c r="I17" s="49" t="str">
        <x:f>IF(AND(E17&lt;=F17,H17="Complete"),"Within Target","Review")</x:f>
        <x:v>Review</x:v>
      </x:c>
    </x:row>
    <x:row r="18">
      <x:c r="A18" s="45" t="str">
        <x:v>ENC-0014</x:v>
      </x:c>
      <x:c r="B18" s="46" t="n">
        <x:v>46126</x:v>
      </x:c>
      <x:c r="C18" s="47" t="str">
        <x:v>Facility 2</x:v>
      </x:c>
      <x:c r="D18" s="47" t="str">
        <x:v>Emergency</x:v>
      </x:c>
      <x:c r="E18" s="48" t="n">
        <x:v>43</x:v>
      </x:c>
      <x:c r="F18" s="48" t="n">
        <x:v>30</x:v>
      </x:c>
      <x:c r="G18" s="47" t="str">
        <x:v>No</x:v>
      </x:c>
      <x:c r="H18" s="47" t="str">
        <x:v>Complete</x:v>
      </x:c>
      <x:c r="I18" s="49" t="str">
        <x:f>IF(AND(E18&lt;=F18,H18="Complete"),"Within Target","Review")</x:f>
        <x:v>Review</x:v>
      </x:c>
    </x:row>
    <x:row r="19">
      <x:c r="A19" s="45" t="str">
        <x:v>ENC-0015</x:v>
      </x:c>
      <x:c r="B19" s="46" t="n">
        <x:v>46127</x:v>
      </x:c>
      <x:c r="C19" s="47" t="str">
        <x:v>Facility 1</x:v>
      </x:c>
      <x:c r="D19" s="47" t="str">
        <x:v>Diagnostics</x:v>
      </x:c>
      <x:c r="E19" s="48" t="n">
        <x:v>16</x:v>
      </x:c>
      <x:c r="F19" s="48" t="n">
        <x:v>30</x:v>
      </x:c>
      <x:c r="G19" s="47" t="str">
        <x:v>No</x:v>
      </x:c>
      <x:c r="H19" s="47" t="str">
        <x:v>Complete</x:v>
      </x:c>
      <x:c r="I19" s="49" t="str">
        <x:f>IF(AND(E19&lt;=F19,H19="Complete"),"Within Target","Review")</x:f>
        <x:v>Within Target</x:v>
      </x:c>
    </x:row>
    <x:row r="20">
      <x:c r="A20" s="45" t="str">
        <x:v>ENC-0016</x:v>
      </x:c>
      <x:c r="B20" s="46" t="n">
        <x:v>46128</x:v>
      </x:c>
      <x:c r="C20" s="47" t="str">
        <x:v>Facility 2</x:v>
      </x:c>
      <x:c r="D20" s="47" t="str">
        <x:v>Outpatient</x:v>
      </x:c>
      <x:c r="E20" s="48" t="n">
        <x:v>27</x:v>
      </x:c>
      <x:c r="F20" s="48" t="n">
        <x:v>30</x:v>
      </x:c>
      <x:c r="G20" s="47" t="str">
        <x:v>No</x:v>
      </x:c>
      <x:c r="H20" s="47" t="str">
        <x:v>Complete</x:v>
      </x:c>
      <x:c r="I20" s="49" t="str">
        <x:f>IF(AND(E20&lt;=F20,H20="Complete"),"Within Target","Review")</x:f>
        <x:v>Within Target</x:v>
      </x:c>
    </x:row>
    <x:row r="21">
      <x:c r="A21" s="45" t="str">
        <x:v>ENC-0017</x:v>
      </x:c>
      <x:c r="B21" s="46" t="n">
        <x:v>46129</x:v>
      </x:c>
      <x:c r="C21" s="47" t="str">
        <x:v>Facility 1</x:v>
      </x:c>
      <x:c r="D21" s="47" t="str">
        <x:v>Emergency</x:v>
      </x:c>
      <x:c r="E21" s="48" t="n">
        <x:v>38</x:v>
      </x:c>
      <x:c r="F21" s="48" t="n">
        <x:v>30</x:v>
      </x:c>
      <x:c r="G21" s="47" t="str">
        <x:v>No</x:v>
      </x:c>
      <x:c r="H21" s="47" t="str">
        <x:v>Complete</x:v>
      </x:c>
      <x:c r="I21" s="49" t="str">
        <x:f>IF(AND(E21&lt;=F21,H21="Complete"),"Within Target","Review")</x:f>
        <x:v>Review</x:v>
      </x:c>
    </x:row>
    <x:row r="22">
      <x:c r="A22" s="45" t="str">
        <x:v>ENC-0018</x:v>
      </x:c>
      <x:c r="B22" s="46" t="n">
        <x:v>46130</x:v>
      </x:c>
      <x:c r="C22" s="47" t="str">
        <x:v>Facility 2</x:v>
      </x:c>
      <x:c r="D22" s="47" t="str">
        <x:v>Diagnostics</x:v>
      </x:c>
      <x:c r="E22" s="48" t="n">
        <x:v>49</x:v>
      </x:c>
      <x:c r="F22" s="48" t="n">
        <x:v>30</x:v>
      </x:c>
      <x:c r="G22" s="47" t="str">
        <x:v>No</x:v>
      </x:c>
      <x:c r="H22" s="47" t="str">
        <x:v>Complete</x:v>
      </x:c>
      <x:c r="I22" s="49" t="str">
        <x:f>IF(AND(E22&lt;=F22,H22="Complete"),"Within Target","Review")</x:f>
        <x:v>Review</x:v>
      </x:c>
    </x:row>
    <x:row r="23">
      <x:c r="A23" s="45" t="str">
        <x:v>ENC-0019</x:v>
      </x:c>
      <x:c r="B23" s="46" t="n">
        <x:v>46131</x:v>
      </x:c>
      <x:c r="C23" s="47" t="str">
        <x:v>Facility 1</x:v>
      </x:c>
      <x:c r="D23" s="47" t="str">
        <x:v>Outpatient</x:v>
      </x:c>
      <x:c r="E23" s="48" t="n">
        <x:v>22</x:v>
      </x:c>
      <x:c r="F23" s="48" t="n">
        <x:v>30</x:v>
      </x:c>
      <x:c r="G23" s="47" t="str">
        <x:v>Yes</x:v>
      </x:c>
      <x:c r="H23" s="47" t="str">
        <x:v>Complete</x:v>
      </x:c>
      <x:c r="I23" s="49" t="str">
        <x:f>IF(AND(E23&lt;=F23,H23="Complete"),"Within Target","Review")</x:f>
        <x:v>Within Target</x:v>
      </x:c>
    </x:row>
    <x:row r="24">
      <x:c r="A24" s="45" t="str">
        <x:v>ENC-0020</x:v>
      </x:c>
      <x:c r="B24" s="46" t="n">
        <x:v>46132</x:v>
      </x:c>
      <x:c r="C24" s="47" t="str">
        <x:v>Facility 2</x:v>
      </x:c>
      <x:c r="D24" s="47" t="str">
        <x:v>Emergency</x:v>
      </x:c>
      <x:c r="E24" s="48" t="n">
        <x:v>33</x:v>
      </x:c>
      <x:c r="F24" s="48" t="n">
        <x:v>30</x:v>
      </x:c>
      <x:c r="G24" s="47" t="str">
        <x:v>No</x:v>
      </x:c>
      <x:c r="H24" s="47" t="str">
        <x:v>Complete</x:v>
      </x:c>
      <x:c r="I24" s="49" t="str">
        <x:f>IF(AND(E24&lt;=F24,H24="Complete"),"Within Target","Review")</x:f>
        <x:v>Review</x:v>
      </x:c>
    </x:row>
    <x:row r="25">
      <x:c r="A25" s="45" t="str">
        <x:v>ENC-0021</x:v>
      </x:c>
      <x:c r="B25" s="46" t="n">
        <x:v>46133</x:v>
      </x:c>
      <x:c r="C25" s="47" t="str">
        <x:v>Facility 1</x:v>
      </x:c>
      <x:c r="D25" s="47" t="str">
        <x:v>Diagnostics</x:v>
      </x:c>
      <x:c r="E25" s="48" t="n">
        <x:v>44</x:v>
      </x:c>
      <x:c r="F25" s="48" t="n">
        <x:v>30</x:v>
      </x:c>
      <x:c r="G25" s="47" t="str">
        <x:v>No</x:v>
      </x:c>
      <x:c r="H25" s="47" t="str">
        <x:v>Complete</x:v>
      </x:c>
      <x:c r="I25" s="49" t="str">
        <x:f>IF(AND(E25&lt;=F25,H25="Complete"),"Within Target","Review")</x:f>
        <x:v>Review</x:v>
      </x:c>
    </x:row>
    <x:row r="26">
      <x:c r="A26" s="45" t="str">
        <x:v>ENC-0022</x:v>
      </x:c>
      <x:c r="B26" s="46" t="n">
        <x:v>46134</x:v>
      </x:c>
      <x:c r="C26" s="47" t="str">
        <x:v>Facility 2</x:v>
      </x:c>
      <x:c r="D26" s="47" t="str">
        <x:v>Outpatient</x:v>
      </x:c>
      <x:c r="E26" s="48" t="n">
        <x:v>17</x:v>
      </x:c>
      <x:c r="F26" s="48" t="n">
        <x:v>30</x:v>
      </x:c>
      <x:c r="G26" s="47" t="str">
        <x:v>No</x:v>
      </x:c>
      <x:c r="H26" s="47" t="str">
        <x:v>Complete</x:v>
      </x:c>
      <x:c r="I26" s="49" t="str">
        <x:f>IF(AND(E26&lt;=F26,H26="Complete"),"Within Target","Review")</x:f>
        <x:v>Within Target</x:v>
      </x:c>
    </x:row>
    <x:row r="27">
      <x:c r="A27" s="45" t="str">
        <x:v>ENC-0023</x:v>
      </x:c>
      <x:c r="B27" s="46" t="n">
        <x:v>46135</x:v>
      </x:c>
      <x:c r="C27" s="47" t="str">
        <x:v>Facility 1</x:v>
      </x:c>
      <x:c r="D27" s="47" t="str">
        <x:v>Emergency</x:v>
      </x:c>
      <x:c r="E27" s="48" t="n">
        <x:v>28</x:v>
      </x:c>
      <x:c r="F27" s="48" t="n">
        <x:v>30</x:v>
      </x:c>
      <x:c r="G27" s="47" t="str">
        <x:v>No</x:v>
      </x:c>
      <x:c r="H27" s="47" t="str">
        <x:v>Complete</x:v>
      </x:c>
      <x:c r="I27" s="49" t="str">
        <x:f>IF(AND(E27&lt;=F27,H27="Complete"),"Within Target","Review")</x:f>
        <x:v>Within Target</x:v>
      </x:c>
    </x:row>
    <x:row r="28">
      <x:c r="A28" s="50" t="str">
        <x:v>ENC-0024</x:v>
      </x:c>
      <x:c r="B28" s="51" t="n">
        <x:v>46136</x:v>
      </x:c>
      <x:c r="C28" s="52" t="str">
        <x:v>Facility 2</x:v>
      </x:c>
      <x:c r="D28" s="52" t="str">
        <x:v>Diagnostics</x:v>
      </x:c>
      <x:c r="E28" s="53" t="n">
        <x:v>39</x:v>
      </x:c>
      <x:c r="F28" s="53" t="n">
        <x:v>30</x:v>
      </x:c>
      <x:c r="G28" s="52" t="str">
        <x:v>No</x:v>
      </x:c>
      <x:c r="H28" s="52" t="str">
        <x:v>Complete</x:v>
      </x:c>
      <x:c r="I28" s="54" t="str">
        <x:f>IF(AND(E28&lt;=F28,H28="Complete"),"Within Target","Review")</x:f>
        <x:v>Review</x:v>
      </x:c>
    </x:row>
  </x:sheetData>
  <x:mergeCells>
    <x:mergeCell ref="A1:I1"/>
    <x:mergeCell ref="A2:I2"/>
  </x:mergeCells>
  <x:conditionalFormatting sqref="I5:I28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Review"/>
    <x:cfRule type="containsText" dxfId="15" priority="4" operator="containsText" text="Within Target"/>
  </x:conditionalFormatting>
  <x:pageMargins left="0.7" right="0.7" top="0.75" bottom="0.75" header="0.3" footer="0.3"/>
  <x:tableParts count="1">
    <x:tablePart xmlns:r="http://schemas.openxmlformats.org/officeDocument/2006/relationships" r:id="R1ba7fe23c4f342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5" hidden="0" customWidth="1"/>
    <x:col min="4" max="4" width="14" hidden="0" customWidth="1"/>
    <x:col min="5" max="5" width="17" hidden="0" customWidth="1"/>
    <x:col min="6" max="6" width="22" hidden="0" customWidth="1"/>
    <x:col min="7" max="7" width="22" hidden="0" customWidth="1"/>
    <x:col min="8" max="8" width="12" hidden="0" customWidth="1"/>
    <x:col min="9" max="9" width="20" hidden="0" customWidth="1"/>
  </x:cols>
  <x:sheetData>
    <x:row r="1" ht="30" customHeight="1">
      <x:c r="A1" s="29" t="str">
        <x:v>Pharmaceuticals Quality Sample Data</x:v>
      </x:c>
      <x:c r="B1" s="29"/>
      <x:c r="C1" s="29"/>
      <x:c r="D1" s="29"/>
      <x:c r="E1" s="29"/>
      <x:c r="F1" s="29"/>
      <x:c r="G1" s="29"/>
      <x:c r="H1" s="29"/>
      <x:c r="I1" s="29"/>
    </x:row>
    <x:row r="2" ht="24" customHeight="1">
      <x:c r="A2" s="31" t="str">
        <x:v>Finished-product assay and batch-release quality monitoring</x:v>
      </x:c>
      <x:c r="B2" s="31"/>
      <x:c r="C2" s="31"/>
      <x:c r="D2" s="31"/>
      <x:c r="E2" s="31"/>
      <x:c r="F2" s="31"/>
      <x:c r="G2" s="31"/>
      <x:c r="H2" s="31"/>
      <x:c r="I2" s="31"/>
    </x:row>
    <x:row r="4" ht="34" customHeight="1">
      <x:c r="A4" s="35" t="str">
        <x:v>Sample_ID</x:v>
      </x:c>
      <x:c r="B4" s="36" t="str">
        <x:v>Test_Date</x:v>
      </x:c>
      <x:c r="C4" s="36" t="str">
        <x:v>Product</x:v>
      </x:c>
      <x:c r="D4" s="36" t="str">
        <x:v>Batch_ID</x:v>
      </x:c>
      <x:c r="E4" s="36" t="str">
        <x:v>Assay_Percent</x:v>
      </x:c>
      <x:c r="F4" s="36" t="str">
        <x:v>Lower_Spec_Percent</x:v>
      </x:c>
      <x:c r="G4" s="36" t="str">
        <x:v>Upper_Spec_Percent</x:v>
      </x:c>
      <x:c r="H4" s="36" t="str">
        <x:v>Lab_ID</x:v>
      </x:c>
      <x:c r="I4" s="37" t="str">
        <x:v>Conformance_Status</x:v>
      </x:c>
    </x:row>
    <x:row r="5">
      <x:c r="A5" s="40" t="str">
        <x:v>PHA-001</x:v>
      </x:c>
      <x:c r="B5" s="41" t="n">
        <x:v>46143</x:v>
      </x:c>
      <x:c r="C5" s="42" t="str">
        <x:v>Product A</x:v>
      </x:c>
      <x:c r="D5" s="42" t="str">
        <x:v>LOT-2201</x:v>
      </x:c>
      <x:c r="E5" s="43" t="n">
        <x:v>96.8</x:v>
      </x:c>
      <x:c r="F5" s="43" t="n">
        <x:v>95</x:v>
      </x:c>
      <x:c r="G5" s="43" t="n">
        <x:v>105</x:v>
      </x:c>
      <x:c r="H5" s="42" t="str">
        <x:v>QC-1</x:v>
      </x:c>
      <x:c r="I5" s="44" t="str">
        <x:f>IF(AND(E5&gt;=F5,E5&lt;=G5),"Pass","Fail")</x:f>
        <x:v>Pass</x:v>
      </x:c>
    </x:row>
    <x:row r="6">
      <x:c r="A6" s="45" t="str">
        <x:v>PHA-002</x:v>
      </x:c>
      <x:c r="B6" s="46" t="n">
        <x:v>46144</x:v>
      </x:c>
      <x:c r="C6" s="47" t="str">
        <x:v>Product B</x:v>
      </x:c>
      <x:c r="D6" s="47" t="str">
        <x:v>LOT-2202</x:v>
      </x:c>
      <x:c r="E6" s="48" t="n">
        <x:v>98.5</x:v>
      </x:c>
      <x:c r="F6" s="48" t="n">
        <x:v>95</x:v>
      </x:c>
      <x:c r="G6" s="48" t="n">
        <x:v>105</x:v>
      </x:c>
      <x:c r="H6" s="47" t="str">
        <x:v>QC-2</x:v>
      </x:c>
      <x:c r="I6" s="49" t="str">
        <x:f>IF(AND(E6&gt;=F6,E6&lt;=G6),"Pass","Fail")</x:f>
        <x:v>Pass</x:v>
      </x:c>
    </x:row>
    <x:row r="7">
      <x:c r="A7" s="45" t="str">
        <x:v>PHA-003</x:v>
      </x:c>
      <x:c r="B7" s="46" t="n">
        <x:v>46145</x:v>
      </x:c>
      <x:c r="C7" s="47" t="str">
        <x:v>Product C</x:v>
      </x:c>
      <x:c r="D7" s="47" t="str">
        <x:v>LOT-2203</x:v>
      </x:c>
      <x:c r="E7" s="48" t="n">
        <x:v>100.2</x:v>
      </x:c>
      <x:c r="F7" s="48" t="n">
        <x:v>95</x:v>
      </x:c>
      <x:c r="G7" s="48" t="n">
        <x:v>105</x:v>
      </x:c>
      <x:c r="H7" s="47" t="str">
        <x:v>QC-3</x:v>
      </x:c>
      <x:c r="I7" s="49" t="str">
        <x:f>IF(AND(E7&gt;=F7,E7&lt;=G7),"Pass","Fail")</x:f>
        <x:v>Pass</x:v>
      </x:c>
    </x:row>
    <x:row r="8">
      <x:c r="A8" s="45" t="str">
        <x:v>PHA-004</x:v>
      </x:c>
      <x:c r="B8" s="46" t="n">
        <x:v>46146</x:v>
      </x:c>
      <x:c r="C8" s="47" t="str">
        <x:v>Product A</x:v>
      </x:c>
      <x:c r="D8" s="47" t="str">
        <x:v>LOT-2204</x:v>
      </x:c>
      <x:c r="E8" s="48" t="n">
        <x:v>101.89999999999999</x:v>
      </x:c>
      <x:c r="F8" s="48" t="n">
        <x:v>95</x:v>
      </x:c>
      <x:c r="G8" s="48" t="n">
        <x:v>105</x:v>
      </x:c>
      <x:c r="H8" s="47" t="str">
        <x:v>QC-1</x:v>
      </x:c>
      <x:c r="I8" s="49" t="str">
        <x:f>IF(AND(E8&gt;=F8,E8&lt;=G8),"Pass","Fail")</x:f>
        <x:v>Pass</x:v>
      </x:c>
    </x:row>
    <x:row r="9">
      <x:c r="A9" s="45" t="str">
        <x:v>PHA-005</x:v>
      </x:c>
      <x:c r="B9" s="46" t="n">
        <x:v>46147</x:v>
      </x:c>
      <x:c r="C9" s="47" t="str">
        <x:v>Product B</x:v>
      </x:c>
      <x:c r="D9" s="47" t="str">
        <x:v>LOT-2205</x:v>
      </x:c>
      <x:c r="E9" s="48" t="n">
        <x:v>96.8</x:v>
      </x:c>
      <x:c r="F9" s="48" t="n">
        <x:v>95</x:v>
      </x:c>
      <x:c r="G9" s="48" t="n">
        <x:v>105</x:v>
      </x:c>
      <x:c r="H9" s="47" t="str">
        <x:v>QC-2</x:v>
      </x:c>
      <x:c r="I9" s="49" t="str">
        <x:f>IF(AND(E9&gt;=F9,E9&lt;=G9),"Pass","Fail")</x:f>
        <x:v>Pass</x:v>
      </x:c>
    </x:row>
    <x:row r="10">
      <x:c r="A10" s="45" t="str">
        <x:v>PHA-006</x:v>
      </x:c>
      <x:c r="B10" s="46" t="n">
        <x:v>46148</x:v>
      </x:c>
      <x:c r="C10" s="47" t="str">
        <x:v>Product C</x:v>
      </x:c>
      <x:c r="D10" s="47" t="str">
        <x:v>LOT-2206</x:v>
      </x:c>
      <x:c r="E10" s="48" t="n">
        <x:v>98.5</x:v>
      </x:c>
      <x:c r="F10" s="48" t="n">
        <x:v>95</x:v>
      </x:c>
      <x:c r="G10" s="48" t="n">
        <x:v>105</x:v>
      </x:c>
      <x:c r="H10" s="47" t="str">
        <x:v>QC-3</x:v>
      </x:c>
      <x:c r="I10" s="49" t="str">
        <x:f>IF(AND(E10&gt;=F10,E10&lt;=G10),"Pass","Fail")</x:f>
        <x:v>Pass</x:v>
      </x:c>
    </x:row>
    <x:row r="11">
      <x:c r="A11" s="45" t="str">
        <x:v>PHA-007</x:v>
      </x:c>
      <x:c r="B11" s="46" t="n">
        <x:v>46149</x:v>
      </x:c>
      <x:c r="C11" s="47" t="str">
        <x:v>Product A</x:v>
      </x:c>
      <x:c r="D11" s="47" t="str">
        <x:v>LOT-2207</x:v>
      </x:c>
      <x:c r="E11" s="48" t="n">
        <x:v>100.2</x:v>
      </x:c>
      <x:c r="F11" s="48" t="n">
        <x:v>95</x:v>
      </x:c>
      <x:c r="G11" s="48" t="n">
        <x:v>105</x:v>
      </x:c>
      <x:c r="H11" s="47" t="str">
        <x:v>QC-1</x:v>
      </x:c>
      <x:c r="I11" s="49" t="str">
        <x:f>IF(AND(E11&gt;=F11,E11&lt;=G11),"Pass","Fail")</x:f>
        <x:v>Pass</x:v>
      </x:c>
    </x:row>
    <x:row r="12">
      <x:c r="A12" s="45" t="str">
        <x:v>PHA-008</x:v>
      </x:c>
      <x:c r="B12" s="46" t="n">
        <x:v>46150</x:v>
      </x:c>
      <x:c r="C12" s="47" t="str">
        <x:v>Product B</x:v>
      </x:c>
      <x:c r="D12" s="47" t="str">
        <x:v>LOT-2208</x:v>
      </x:c>
      <x:c r="E12" s="48" t="n">
        <x:v>101.89999999999999</x:v>
      </x:c>
      <x:c r="F12" s="48" t="n">
        <x:v>95</x:v>
      </x:c>
      <x:c r="G12" s="48" t="n">
        <x:v>105</x:v>
      </x:c>
      <x:c r="H12" s="47" t="str">
        <x:v>QC-2</x:v>
      </x:c>
      <x:c r="I12" s="49" t="str">
        <x:f>IF(AND(E12&gt;=F12,E12&lt;=G12),"Pass","Fail")</x:f>
        <x:v>Pass</x:v>
      </x:c>
    </x:row>
    <x:row r="13">
      <x:c r="A13" s="45" t="str">
        <x:v>PHA-009</x:v>
      </x:c>
      <x:c r="B13" s="46" t="n">
        <x:v>46151</x:v>
      </x:c>
      <x:c r="C13" s="47" t="str">
        <x:v>Product C</x:v>
      </x:c>
      <x:c r="D13" s="47" t="str">
        <x:v>LOT-2209</x:v>
      </x:c>
      <x:c r="E13" s="48" t="n">
        <x:v>96.8</x:v>
      </x:c>
      <x:c r="F13" s="48" t="n">
        <x:v>95</x:v>
      </x:c>
      <x:c r="G13" s="48" t="n">
        <x:v>105</x:v>
      </x:c>
      <x:c r="H13" s="47" t="str">
        <x:v>QC-3</x:v>
      </x:c>
      <x:c r="I13" s="49" t="str">
        <x:f>IF(AND(E13&gt;=F13,E13&lt;=G13),"Pass","Fail")</x:f>
        <x:v>Pass</x:v>
      </x:c>
    </x:row>
    <x:row r="14">
      <x:c r="A14" s="45" t="str">
        <x:v>PHA-010</x:v>
      </x:c>
      <x:c r="B14" s="46" t="n">
        <x:v>46152</x:v>
      </x:c>
      <x:c r="C14" s="47" t="str">
        <x:v>Product A</x:v>
      </x:c>
      <x:c r="D14" s="47" t="str">
        <x:v>LOT-2210</x:v>
      </x:c>
      <x:c r="E14" s="48" t="n">
        <x:v>98.5</x:v>
      </x:c>
      <x:c r="F14" s="48" t="n">
        <x:v>95</x:v>
      </x:c>
      <x:c r="G14" s="48" t="n">
        <x:v>105</x:v>
      </x:c>
      <x:c r="H14" s="47" t="str">
        <x:v>QC-1</x:v>
      </x:c>
      <x:c r="I14" s="49" t="str">
        <x:f>IF(AND(E14&gt;=F14,E14&lt;=G14),"Pass","Fail")</x:f>
        <x:v>Pass</x:v>
      </x:c>
    </x:row>
    <x:row r="15">
      <x:c r="A15" s="45" t="str">
        <x:v>PHA-011</x:v>
      </x:c>
      <x:c r="B15" s="46" t="n">
        <x:v>46153</x:v>
      </x:c>
      <x:c r="C15" s="47" t="str">
        <x:v>Product B</x:v>
      </x:c>
      <x:c r="D15" s="47" t="str">
        <x:v>LOT-2211</x:v>
      </x:c>
      <x:c r="E15" s="48" t="n">
        <x:v>100.2</x:v>
      </x:c>
      <x:c r="F15" s="48" t="n">
        <x:v>95</x:v>
      </x:c>
      <x:c r="G15" s="48" t="n">
        <x:v>105</x:v>
      </x:c>
      <x:c r="H15" s="47" t="str">
        <x:v>QC-2</x:v>
      </x:c>
      <x:c r="I15" s="49" t="str">
        <x:f>IF(AND(E15&gt;=F15,E15&lt;=G15),"Pass","Fail")</x:f>
        <x:v>Pass</x:v>
      </x:c>
    </x:row>
    <x:row r="16">
      <x:c r="A16" s="45" t="str">
        <x:v>PHA-012</x:v>
      </x:c>
      <x:c r="B16" s="46" t="n">
        <x:v>46154</x:v>
      </x:c>
      <x:c r="C16" s="47" t="str">
        <x:v>Product C</x:v>
      </x:c>
      <x:c r="D16" s="47" t="str">
        <x:v>LOT-2212</x:v>
      </x:c>
      <x:c r="E16" s="48" t="n">
        <x:v>101.89999999999999</x:v>
      </x:c>
      <x:c r="F16" s="48" t="n">
        <x:v>95</x:v>
      </x:c>
      <x:c r="G16" s="48" t="n">
        <x:v>105</x:v>
      </x:c>
      <x:c r="H16" s="47" t="str">
        <x:v>QC-3</x:v>
      </x:c>
      <x:c r="I16" s="49" t="str">
        <x:f>IF(AND(E16&gt;=F16,E16&lt;=G16),"Pass","Fail")</x:f>
        <x:v>Pass</x:v>
      </x:c>
    </x:row>
    <x:row r="17">
      <x:c r="A17" s="45" t="str">
        <x:v>PHA-013</x:v>
      </x:c>
      <x:c r="B17" s="46" t="n">
        <x:v>46155</x:v>
      </x:c>
      <x:c r="C17" s="47" t="str">
        <x:v>Product A</x:v>
      </x:c>
      <x:c r="D17" s="47" t="str">
        <x:v>LOT-2213</x:v>
      </x:c>
      <x:c r="E17" s="48" t="n">
        <x:v>96.8</x:v>
      </x:c>
      <x:c r="F17" s="48" t="n">
        <x:v>95</x:v>
      </x:c>
      <x:c r="G17" s="48" t="n">
        <x:v>105</x:v>
      </x:c>
      <x:c r="H17" s="47" t="str">
        <x:v>QC-1</x:v>
      </x:c>
      <x:c r="I17" s="49" t="str">
        <x:f>IF(AND(E17&gt;=F17,E17&lt;=G17),"Pass","Fail")</x:f>
        <x:v>Pass</x:v>
      </x:c>
    </x:row>
    <x:row r="18">
      <x:c r="A18" s="45" t="str">
        <x:v>PHA-014</x:v>
      </x:c>
      <x:c r="B18" s="46" t="n">
        <x:v>46156</x:v>
      </x:c>
      <x:c r="C18" s="47" t="str">
        <x:v>Product B</x:v>
      </x:c>
      <x:c r="D18" s="47" t="str">
        <x:v>LOT-2214</x:v>
      </x:c>
      <x:c r="E18" s="48" t="n">
        <x:v>98.5</x:v>
      </x:c>
      <x:c r="F18" s="48" t="n">
        <x:v>95</x:v>
      </x:c>
      <x:c r="G18" s="48" t="n">
        <x:v>105</x:v>
      </x:c>
      <x:c r="H18" s="47" t="str">
        <x:v>QC-2</x:v>
      </x:c>
      <x:c r="I18" s="49" t="str">
        <x:f>IF(AND(E18&gt;=F18,E18&lt;=G18),"Pass","Fail")</x:f>
        <x:v>Pass</x:v>
      </x:c>
    </x:row>
    <x:row r="19">
      <x:c r="A19" s="45" t="str">
        <x:v>PHA-015</x:v>
      </x:c>
      <x:c r="B19" s="46" t="n">
        <x:v>46157</x:v>
      </x:c>
      <x:c r="C19" s="47" t="str">
        <x:v>Product C</x:v>
      </x:c>
      <x:c r="D19" s="47" t="str">
        <x:v>LOT-2215</x:v>
      </x:c>
      <x:c r="E19" s="48" t="n">
        <x:v>100.2</x:v>
      </x:c>
      <x:c r="F19" s="48" t="n">
        <x:v>95</x:v>
      </x:c>
      <x:c r="G19" s="48" t="n">
        <x:v>105</x:v>
      </x:c>
      <x:c r="H19" s="47" t="str">
        <x:v>QC-3</x:v>
      </x:c>
      <x:c r="I19" s="49" t="str">
        <x:f>IF(AND(E19&gt;=F19,E19&lt;=G19),"Pass","Fail")</x:f>
        <x:v>Pass</x:v>
      </x:c>
    </x:row>
    <x:row r="20">
      <x:c r="A20" s="45" t="str">
        <x:v>PHA-016</x:v>
      </x:c>
      <x:c r="B20" s="46" t="n">
        <x:v>46158</x:v>
      </x:c>
      <x:c r="C20" s="47" t="str">
        <x:v>Product A</x:v>
      </x:c>
      <x:c r="D20" s="47" t="str">
        <x:v>LOT-2216</x:v>
      </x:c>
      <x:c r="E20" s="48" t="n">
        <x:v>101.89999999999999</x:v>
      </x:c>
      <x:c r="F20" s="48" t="n">
        <x:v>95</x:v>
      </x:c>
      <x:c r="G20" s="48" t="n">
        <x:v>105</x:v>
      </x:c>
      <x:c r="H20" s="47" t="str">
        <x:v>QC-1</x:v>
      </x:c>
      <x:c r="I20" s="49" t="str">
        <x:f>IF(AND(E20&gt;=F20,E20&lt;=G20),"Pass","Fail")</x:f>
        <x:v>Pass</x:v>
      </x:c>
    </x:row>
    <x:row r="21">
      <x:c r="A21" s="45" t="str">
        <x:v>PHA-017</x:v>
      </x:c>
      <x:c r="B21" s="46" t="n">
        <x:v>46159</x:v>
      </x:c>
      <x:c r="C21" s="47" t="str">
        <x:v>Product B</x:v>
      </x:c>
      <x:c r="D21" s="47" t="str">
        <x:v>LOT-2217</x:v>
      </x:c>
      <x:c r="E21" s="48" t="n">
        <x:v>96.8</x:v>
      </x:c>
      <x:c r="F21" s="48" t="n">
        <x:v>95</x:v>
      </x:c>
      <x:c r="G21" s="48" t="n">
        <x:v>105</x:v>
      </x:c>
      <x:c r="H21" s="47" t="str">
        <x:v>QC-2</x:v>
      </x:c>
      <x:c r="I21" s="49" t="str">
        <x:f>IF(AND(E21&gt;=F21,E21&lt;=G21),"Pass","Fail")</x:f>
        <x:v>Pass</x:v>
      </x:c>
    </x:row>
    <x:row r="22">
      <x:c r="A22" s="45" t="str">
        <x:v>PHA-018</x:v>
      </x:c>
      <x:c r="B22" s="46" t="n">
        <x:v>46160</x:v>
      </x:c>
      <x:c r="C22" s="47" t="str">
        <x:v>Product C</x:v>
      </x:c>
      <x:c r="D22" s="47" t="str">
        <x:v>LOT-2218</x:v>
      </x:c>
      <x:c r="E22" s="48" t="n">
        <x:v>98.5</x:v>
      </x:c>
      <x:c r="F22" s="48" t="n">
        <x:v>95</x:v>
      </x:c>
      <x:c r="G22" s="48" t="n">
        <x:v>105</x:v>
      </x:c>
      <x:c r="H22" s="47" t="str">
        <x:v>QC-3</x:v>
      </x:c>
      <x:c r="I22" s="49" t="str">
        <x:f>IF(AND(E22&gt;=F22,E22&lt;=G22),"Pass","Fail")</x:f>
        <x:v>Pass</x:v>
      </x:c>
    </x:row>
    <x:row r="23">
      <x:c r="A23" s="45" t="str">
        <x:v>PHA-019</x:v>
      </x:c>
      <x:c r="B23" s="46" t="n">
        <x:v>46161</x:v>
      </x:c>
      <x:c r="C23" s="47" t="str">
        <x:v>Product A</x:v>
      </x:c>
      <x:c r="D23" s="47" t="str">
        <x:v>LOT-2219</x:v>
      </x:c>
      <x:c r="E23" s="48" t="n">
        <x:v>100.2</x:v>
      </x:c>
      <x:c r="F23" s="48" t="n">
        <x:v>95</x:v>
      </x:c>
      <x:c r="G23" s="48" t="n">
        <x:v>105</x:v>
      </x:c>
      <x:c r="H23" s="47" t="str">
        <x:v>QC-1</x:v>
      </x:c>
      <x:c r="I23" s="49" t="str">
        <x:f>IF(AND(E23&gt;=F23,E23&lt;=G23),"Pass","Fail")</x:f>
        <x:v>Pass</x:v>
      </x:c>
    </x:row>
    <x:row r="24">
      <x:c r="A24" s="45" t="str">
        <x:v>PHA-020</x:v>
      </x:c>
      <x:c r="B24" s="46" t="n">
        <x:v>46162</x:v>
      </x:c>
      <x:c r="C24" s="47" t="str">
        <x:v>Product B</x:v>
      </x:c>
      <x:c r="D24" s="47" t="str">
        <x:v>LOT-2220</x:v>
      </x:c>
      <x:c r="E24" s="48" t="n">
        <x:v>101.89999999999999</x:v>
      </x:c>
      <x:c r="F24" s="48" t="n">
        <x:v>95</x:v>
      </x:c>
      <x:c r="G24" s="48" t="n">
        <x:v>105</x:v>
      </x:c>
      <x:c r="H24" s="47" t="str">
        <x:v>QC-2</x:v>
      </x:c>
      <x:c r="I24" s="49" t="str">
        <x:f>IF(AND(E24&gt;=F24,E24&lt;=G24),"Pass","Fail")</x:f>
        <x:v>Pass</x:v>
      </x:c>
    </x:row>
    <x:row r="25">
      <x:c r="A25" s="45" t="str">
        <x:v>PHA-021</x:v>
      </x:c>
      <x:c r="B25" s="46" t="n">
        <x:v>46163</x:v>
      </x:c>
      <x:c r="C25" s="47" t="str">
        <x:v>Product C</x:v>
      </x:c>
      <x:c r="D25" s="47" t="str">
        <x:v>LOT-2221</x:v>
      </x:c>
      <x:c r="E25" s="48" t="n">
        <x:v>96.8</x:v>
      </x:c>
      <x:c r="F25" s="48" t="n">
        <x:v>95</x:v>
      </x:c>
      <x:c r="G25" s="48" t="n">
        <x:v>105</x:v>
      </x:c>
      <x:c r="H25" s="47" t="str">
        <x:v>QC-3</x:v>
      </x:c>
      <x:c r="I25" s="49" t="str">
        <x:f>IF(AND(E25&gt;=F25,E25&lt;=G25),"Pass","Fail")</x:f>
        <x:v>Pass</x:v>
      </x:c>
    </x:row>
    <x:row r="26">
      <x:c r="A26" s="45" t="str">
        <x:v>PHA-022</x:v>
      </x:c>
      <x:c r="B26" s="46" t="n">
        <x:v>46164</x:v>
      </x:c>
      <x:c r="C26" s="47" t="str">
        <x:v>Product A</x:v>
      </x:c>
      <x:c r="D26" s="47" t="str">
        <x:v>LOT-2222</x:v>
      </x:c>
      <x:c r="E26" s="48" t="n">
        <x:v>98.5</x:v>
      </x:c>
      <x:c r="F26" s="48" t="n">
        <x:v>95</x:v>
      </x:c>
      <x:c r="G26" s="48" t="n">
        <x:v>105</x:v>
      </x:c>
      <x:c r="H26" s="47" t="str">
        <x:v>QC-1</x:v>
      </x:c>
      <x:c r="I26" s="49" t="str">
        <x:f>IF(AND(E26&gt;=F26,E26&lt;=G26),"Pass","Fail")</x:f>
        <x:v>Pass</x:v>
      </x:c>
    </x:row>
    <x:row r="27">
      <x:c r="A27" s="45" t="str">
        <x:v>PHA-023</x:v>
      </x:c>
      <x:c r="B27" s="46" t="n">
        <x:v>46165</x:v>
      </x:c>
      <x:c r="C27" s="47" t="str">
        <x:v>Product B</x:v>
      </x:c>
      <x:c r="D27" s="47" t="str">
        <x:v>LOT-2223</x:v>
      </x:c>
      <x:c r="E27" s="48" t="n">
        <x:v>100.2</x:v>
      </x:c>
      <x:c r="F27" s="48" t="n">
        <x:v>95</x:v>
      </x:c>
      <x:c r="G27" s="48" t="n">
        <x:v>105</x:v>
      </x:c>
      <x:c r="H27" s="47" t="str">
        <x:v>QC-2</x:v>
      </x:c>
      <x:c r="I27" s="49" t="str">
        <x:f>IF(AND(E27&gt;=F27,E27&lt;=G27),"Pass","Fail")</x:f>
        <x:v>Pass</x:v>
      </x:c>
    </x:row>
    <x:row r="28">
      <x:c r="A28" s="50" t="str">
        <x:v>PHA-024</x:v>
      </x:c>
      <x:c r="B28" s="51" t="n">
        <x:v>46166</x:v>
      </x:c>
      <x:c r="C28" s="52" t="str">
        <x:v>Product C</x:v>
      </x:c>
      <x:c r="D28" s="52" t="str">
        <x:v>LOT-2224</x:v>
      </x:c>
      <x:c r="E28" s="53" t="n">
        <x:v>101.89999999999999</x:v>
      </x:c>
      <x:c r="F28" s="53" t="n">
        <x:v>95</x:v>
      </x:c>
      <x:c r="G28" s="53" t="n">
        <x:v>105</x:v>
      </x:c>
      <x:c r="H28" s="52" t="str">
        <x:v>QC-3</x:v>
      </x:c>
      <x:c r="I28" s="54" t="str">
        <x:f>IF(AND(E28&gt;=F28,E28&lt;=G28),"Pass","Fail")</x:f>
        <x:v>Pass</x:v>
      </x:c>
    </x:row>
  </x:sheetData>
  <x:mergeCells>
    <x:mergeCell ref="A1:I1"/>
    <x:mergeCell ref="A2:I2"/>
  </x:mergeCells>
  <x:conditionalFormatting sqref="I5:I28">
    <x:cfRule type="containsText" dxfId="16" priority="1" operator="containsText" text="Pass"/>
    <x:cfRule type="containsText" dxfId="17" priority="2" operator="containsText" text="Fail"/>
    <x:cfRule type="containsText" dxfId="18" priority="3" operator="containsText" text="Review"/>
    <x:cfRule type="containsText" dxfId="19" priority="4" operator="containsText" text="Within Target"/>
  </x:conditionalFormatting>
  <x:pageMargins left="0.7" right="0.7" top="0.75" bottom="0.75" header="0.3" footer="0.3"/>
  <x:tableParts count="1">
    <x:tablePart xmlns:r="http://schemas.openxmlformats.org/officeDocument/2006/relationships" r:id="Ra64154ee069348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8" hidden="0" customWidth="1"/>
    <x:col min="4" max="4" width="15" hidden="0" customWidth="1"/>
    <x:col min="5" max="5" width="18" hidden="0" customWidth="1"/>
    <x:col min="6" max="6" width="14" hidden="0" customWidth="1"/>
    <x:col min="7" max="7" width="15" hidden="0" customWidth="1"/>
    <x:col min="8" max="8" width="15" hidden="0" customWidth="1"/>
    <x:col min="9" max="9" width="20" hidden="0" customWidth="1"/>
  </x:cols>
  <x:sheetData>
    <x:row r="1" ht="30" customHeight="1">
      <x:c r="A1" s="29" t="str">
        <x:v>Environmental Quality Sample Data</x:v>
      </x:c>
      <x:c r="B1" s="29"/>
      <x:c r="C1" s="29"/>
      <x:c r="D1" s="29"/>
      <x:c r="E1" s="29"/>
      <x:c r="F1" s="29"/>
      <x:c r="G1" s="29"/>
      <x:c r="H1" s="29"/>
      <x:c r="I1" s="29"/>
    </x:row>
    <x:row r="2" ht="24" customHeight="1">
      <x:c r="A2" s="31" t="str">
        <x:v>Water-quality monitoring against configurable acceptance limits</x:v>
      </x:c>
      <x:c r="B2" s="31"/>
      <x:c r="C2" s="31"/>
      <x:c r="D2" s="31"/>
      <x:c r="E2" s="31"/>
      <x:c r="F2" s="31"/>
      <x:c r="G2" s="31"/>
      <x:c r="H2" s="31"/>
      <x:c r="I2" s="31"/>
    </x:row>
    <x:row r="4" ht="34" customHeight="1">
      <x:c r="A4" s="35" t="str">
        <x:v>Sample_ID</x:v>
      </x:c>
      <x:c r="B4" s="36" t="str">
        <x:v>Collection_Date</x:v>
      </x:c>
      <x:c r="C4" s="36" t="str">
        <x:v>Monitoring_Site</x:v>
      </x:c>
      <x:c r="D4" s="36" t="str">
        <x:v>Parameter</x:v>
      </x:c>
      <x:c r="E4" s="36" t="str">
        <x:v>Measured_Value</x:v>
      </x:c>
      <x:c r="F4" s="36" t="str">
        <x:v>Unit</x:v>
      </x:c>
      <x:c r="G4" s="36" t="str">
        <x:v>Lower_Limit</x:v>
      </x:c>
      <x:c r="H4" s="36" t="str">
        <x:v>Upper_Limit</x:v>
      </x:c>
      <x:c r="I4" s="37" t="str">
        <x:v>Conformance_Status</x:v>
      </x:c>
    </x:row>
    <x:row r="5">
      <x:c r="A5" s="40" t="str">
        <x:v>ENV-001</x:v>
      </x:c>
      <x:c r="B5" s="41" t="n">
        <x:v>46174</x:v>
      </x:c>
      <x:c r="C5" s="42" t="str">
        <x:v>Site 1</x:v>
      </x:c>
      <x:c r="D5" s="42" t="str">
        <x:v>pH</x:v>
      </x:c>
      <x:c r="E5" s="43" t="n">
        <x:v>6.2</x:v>
      </x:c>
      <x:c r="F5" s="42" t="str">
        <x:v>pH units</x:v>
      </x:c>
      <x:c r="G5" s="43" t="n">
        <x:v>6.5</x:v>
      </x:c>
      <x:c r="H5" s="43" t="n">
        <x:v>8.5</x:v>
      </x:c>
      <x:c r="I5" s="44" t="str">
        <x:f>IF(AND(E5&gt;=G5,E5&lt;=H5),"Pass","Review")</x:f>
        <x:v>Review</x:v>
      </x:c>
    </x:row>
    <x:row r="6">
      <x:c r="A6" s="45" t="str">
        <x:v>ENV-002</x:v>
      </x:c>
      <x:c r="B6" s="46" t="n">
        <x:v>46175</x:v>
      </x:c>
      <x:c r="C6" s="47" t="str">
        <x:v>Site 2</x:v>
      </x:c>
      <x:c r="D6" s="47" t="str">
        <x:v>pH</x:v>
      </x:c>
      <x:c r="E6" s="48" t="n">
        <x:v>7.1000000000000005</x:v>
      </x:c>
      <x:c r="F6" s="47" t="str">
        <x:v>pH units</x:v>
      </x:c>
      <x:c r="G6" s="48" t="n">
        <x:v>6.5</x:v>
      </x:c>
      <x:c r="H6" s="48" t="n">
        <x:v>8.5</x:v>
      </x:c>
      <x:c r="I6" s="49" t="str">
        <x:f>IF(AND(E6&gt;=G6,E6&lt;=H6),"Pass","Review")</x:f>
        <x:v>Pass</x:v>
      </x:c>
    </x:row>
    <x:row r="7">
      <x:c r="A7" s="45" t="str">
        <x:v>ENV-003</x:v>
      </x:c>
      <x:c r="B7" s="46" t="n">
        <x:v>46176</x:v>
      </x:c>
      <x:c r="C7" s="47" t="str">
        <x:v>Site 3</x:v>
      </x:c>
      <x:c r="D7" s="47" t="str">
        <x:v>pH</x:v>
      </x:c>
      <x:c r="E7" s="48" t="n">
        <x:v>8</x:v>
      </x:c>
      <x:c r="F7" s="47" t="str">
        <x:v>pH units</x:v>
      </x:c>
      <x:c r="G7" s="48" t="n">
        <x:v>6.5</x:v>
      </x:c>
      <x:c r="H7" s="48" t="n">
        <x:v>8.5</x:v>
      </x:c>
      <x:c r="I7" s="49" t="str">
        <x:f>IF(AND(E7&gt;=G7,E7&lt;=H7),"Pass","Review")</x:f>
        <x:v>Pass</x:v>
      </x:c>
    </x:row>
    <x:row r="8">
      <x:c r="A8" s="45" t="str">
        <x:v>ENV-004</x:v>
      </x:c>
      <x:c r="B8" s="46" t="n">
        <x:v>46177</x:v>
      </x:c>
      <x:c r="C8" s="47" t="str">
        <x:v>Site 4</x:v>
      </x:c>
      <x:c r="D8" s="47" t="str">
        <x:v>pH</x:v>
      </x:c>
      <x:c r="E8" s="48" t="n">
        <x:v>8.9</x:v>
      </x:c>
      <x:c r="F8" s="47" t="str">
        <x:v>pH units</x:v>
      </x:c>
      <x:c r="G8" s="48" t="n">
        <x:v>6.5</x:v>
      </x:c>
      <x:c r="H8" s="48" t="n">
        <x:v>8.5</x:v>
      </x:c>
      <x:c r="I8" s="49" t="str">
        <x:f>IF(AND(E8&gt;=G8,E8&lt;=H8),"Pass","Review")</x:f>
        <x:v>Review</x:v>
      </x:c>
    </x:row>
    <x:row r="9">
      <x:c r="A9" s="45" t="str">
        <x:v>ENV-005</x:v>
      </x:c>
      <x:c r="B9" s="46" t="n">
        <x:v>46178</x:v>
      </x:c>
      <x:c r="C9" s="47" t="str">
        <x:v>Site 1</x:v>
      </x:c>
      <x:c r="D9" s="47" t="str">
        <x:v>pH</x:v>
      </x:c>
      <x:c r="E9" s="48" t="n">
        <x:v>6.4</x:v>
      </x:c>
      <x:c r="F9" s="47" t="str">
        <x:v>pH units</x:v>
      </x:c>
      <x:c r="G9" s="48" t="n">
        <x:v>6.5</x:v>
      </x:c>
      <x:c r="H9" s="48" t="n">
        <x:v>8.5</x:v>
      </x:c>
      <x:c r="I9" s="49" t="str">
        <x:f>IF(AND(E9&gt;=G9,E9&lt;=H9),"Pass","Review")</x:f>
        <x:v>Review</x:v>
      </x:c>
    </x:row>
    <x:row r="10">
      <x:c r="A10" s="45" t="str">
        <x:v>ENV-006</x:v>
      </x:c>
      <x:c r="B10" s="46" t="n">
        <x:v>46179</x:v>
      </x:c>
      <x:c r="C10" s="47" t="str">
        <x:v>Site 2</x:v>
      </x:c>
      <x:c r="D10" s="47" t="str">
        <x:v>pH</x:v>
      </x:c>
      <x:c r="E10" s="48" t="n">
        <x:v>7.300000000000001</x:v>
      </x:c>
      <x:c r="F10" s="47" t="str">
        <x:v>pH units</x:v>
      </x:c>
      <x:c r="G10" s="48" t="n">
        <x:v>6.5</x:v>
      </x:c>
      <x:c r="H10" s="48" t="n">
        <x:v>8.5</x:v>
      </x:c>
      <x:c r="I10" s="49" t="str">
        <x:f>IF(AND(E10&gt;=G10,E10&lt;=H10),"Pass","Review")</x:f>
        <x:v>Pass</x:v>
      </x:c>
    </x:row>
    <x:row r="11">
      <x:c r="A11" s="45" t="str">
        <x:v>ENV-007</x:v>
      </x:c>
      <x:c r="B11" s="46" t="n">
        <x:v>46180</x:v>
      </x:c>
      <x:c r="C11" s="47" t="str">
        <x:v>Site 3</x:v>
      </x:c>
      <x:c r="D11" s="47" t="str">
        <x:v>pH</x:v>
      </x:c>
      <x:c r="E11" s="48" t="n">
        <x:v>8.2</x:v>
      </x:c>
      <x:c r="F11" s="47" t="str">
        <x:v>pH units</x:v>
      </x:c>
      <x:c r="G11" s="48" t="n">
        <x:v>6.5</x:v>
      </x:c>
      <x:c r="H11" s="48" t="n">
        <x:v>8.5</x:v>
      </x:c>
      <x:c r="I11" s="49" t="str">
        <x:f>IF(AND(E11&gt;=G11,E11&lt;=H11),"Pass","Review")</x:f>
        <x:v>Pass</x:v>
      </x:c>
    </x:row>
    <x:row r="12">
      <x:c r="A12" s="45" t="str">
        <x:v>ENV-008</x:v>
      </x:c>
      <x:c r="B12" s="46" t="n">
        <x:v>46181</x:v>
      </x:c>
      <x:c r="C12" s="47" t="str">
        <x:v>Site 4</x:v>
      </x:c>
      <x:c r="D12" s="47" t="str">
        <x:v>pH</x:v>
      </x:c>
      <x:c r="E12" s="48" t="n">
        <x:v>9.1</x:v>
      </x:c>
      <x:c r="F12" s="47" t="str">
        <x:v>pH units</x:v>
      </x:c>
      <x:c r="G12" s="48" t="n">
        <x:v>6.5</x:v>
      </x:c>
      <x:c r="H12" s="48" t="n">
        <x:v>8.5</x:v>
      </x:c>
      <x:c r="I12" s="49" t="str">
        <x:f>IF(AND(E12&gt;=G12,E12&lt;=H12),"Pass","Review")</x:f>
        <x:v>Review</x:v>
      </x:c>
    </x:row>
    <x:row r="13">
      <x:c r="A13" s="45" t="str">
        <x:v>ENV-009</x:v>
      </x:c>
      <x:c r="B13" s="46" t="n">
        <x:v>46182</x:v>
      </x:c>
      <x:c r="C13" s="47" t="str">
        <x:v>Site 1</x:v>
      </x:c>
      <x:c r="D13" s="47" t="str">
        <x:v>pH</x:v>
      </x:c>
      <x:c r="E13" s="48" t="n">
        <x:v>6.6000000000000005</x:v>
      </x:c>
      <x:c r="F13" s="47" t="str">
        <x:v>pH units</x:v>
      </x:c>
      <x:c r="G13" s="48" t="n">
        <x:v>6.5</x:v>
      </x:c>
      <x:c r="H13" s="48" t="n">
        <x:v>8.5</x:v>
      </x:c>
      <x:c r="I13" s="49" t="str">
        <x:f>IF(AND(E13&gt;=G13,E13&lt;=H13),"Pass","Review")</x:f>
        <x:v>Pass</x:v>
      </x:c>
    </x:row>
    <x:row r="14">
      <x:c r="A14" s="45" t="str">
        <x:v>ENV-010</x:v>
      </x:c>
      <x:c r="B14" s="46" t="n">
        <x:v>46183</x:v>
      </x:c>
      <x:c r="C14" s="47" t="str">
        <x:v>Site 2</x:v>
      </x:c>
      <x:c r="D14" s="47" t="str">
        <x:v>pH</x:v>
      </x:c>
      <x:c r="E14" s="48" t="n">
        <x:v>7.5</x:v>
      </x:c>
      <x:c r="F14" s="47" t="str">
        <x:v>pH units</x:v>
      </x:c>
      <x:c r="G14" s="48" t="n">
        <x:v>6.5</x:v>
      </x:c>
      <x:c r="H14" s="48" t="n">
        <x:v>8.5</x:v>
      </x:c>
      <x:c r="I14" s="49" t="str">
        <x:f>IF(AND(E14&gt;=G14,E14&lt;=H14),"Pass","Review")</x:f>
        <x:v>Pass</x:v>
      </x:c>
    </x:row>
    <x:row r="15">
      <x:c r="A15" s="45" t="str">
        <x:v>ENV-011</x:v>
      </x:c>
      <x:c r="B15" s="46" t="n">
        <x:v>46184</x:v>
      </x:c>
      <x:c r="C15" s="47" t="str">
        <x:v>Site 3</x:v>
      </x:c>
      <x:c r="D15" s="47" t="str">
        <x:v>pH</x:v>
      </x:c>
      <x:c r="E15" s="48" t="n">
        <x:v>8.4</x:v>
      </x:c>
      <x:c r="F15" s="47" t="str">
        <x:v>pH units</x:v>
      </x:c>
      <x:c r="G15" s="48" t="n">
        <x:v>6.5</x:v>
      </x:c>
      <x:c r="H15" s="48" t="n">
        <x:v>8.5</x:v>
      </x:c>
      <x:c r="I15" s="49" t="str">
        <x:f>IF(AND(E15&gt;=G15,E15&lt;=H15),"Pass","Review")</x:f>
        <x:v>Pass</x:v>
      </x:c>
    </x:row>
    <x:row r="16">
      <x:c r="A16" s="45" t="str">
        <x:v>ENV-012</x:v>
      </x:c>
      <x:c r="B16" s="46" t="n">
        <x:v>46185</x:v>
      </x:c>
      <x:c r="C16" s="47" t="str">
        <x:v>Site 4</x:v>
      </x:c>
      <x:c r="D16" s="47" t="str">
        <x:v>pH</x:v>
      </x:c>
      <x:c r="E16" s="48" t="n">
        <x:v>9.3</x:v>
      </x:c>
      <x:c r="F16" s="47" t="str">
        <x:v>pH units</x:v>
      </x:c>
      <x:c r="G16" s="48" t="n">
        <x:v>6.5</x:v>
      </x:c>
      <x:c r="H16" s="48" t="n">
        <x:v>8.5</x:v>
      </x:c>
      <x:c r="I16" s="49" t="str">
        <x:f>IF(AND(E16&gt;=G16,E16&lt;=H16),"Pass","Review")</x:f>
        <x:v>Review</x:v>
      </x:c>
    </x:row>
    <x:row r="17">
      <x:c r="A17" s="45" t="str">
        <x:v>ENV-013</x:v>
      </x:c>
      <x:c r="B17" s="46" t="n">
        <x:v>46186</x:v>
      </x:c>
      <x:c r="C17" s="47" t="str">
        <x:v>Site 1</x:v>
      </x:c>
      <x:c r="D17" s="47" t="str">
        <x:v>pH</x:v>
      </x:c>
      <x:c r="E17" s="48" t="n">
        <x:v>6.8</x:v>
      </x:c>
      <x:c r="F17" s="47" t="str">
        <x:v>pH units</x:v>
      </x:c>
      <x:c r="G17" s="48" t="n">
        <x:v>6.5</x:v>
      </x:c>
      <x:c r="H17" s="48" t="n">
        <x:v>8.5</x:v>
      </x:c>
      <x:c r="I17" s="49" t="str">
        <x:f>IF(AND(E17&gt;=G17,E17&lt;=H17),"Pass","Review")</x:f>
        <x:v>Pass</x:v>
      </x:c>
    </x:row>
    <x:row r="18">
      <x:c r="A18" s="45" t="str">
        <x:v>ENV-014</x:v>
      </x:c>
      <x:c r="B18" s="46" t="n">
        <x:v>46187</x:v>
      </x:c>
      <x:c r="C18" s="47" t="str">
        <x:v>Site 2</x:v>
      </x:c>
      <x:c r="D18" s="47" t="str">
        <x:v>pH</x:v>
      </x:c>
      <x:c r="E18" s="48" t="n">
        <x:v>7.7</x:v>
      </x:c>
      <x:c r="F18" s="47" t="str">
        <x:v>pH units</x:v>
      </x:c>
      <x:c r="G18" s="48" t="n">
        <x:v>6.5</x:v>
      </x:c>
      <x:c r="H18" s="48" t="n">
        <x:v>8.5</x:v>
      </x:c>
      <x:c r="I18" s="49" t="str">
        <x:f>IF(AND(E18&gt;=G18,E18&lt;=H18),"Pass","Review")</x:f>
        <x:v>Pass</x:v>
      </x:c>
    </x:row>
    <x:row r="19">
      <x:c r="A19" s="45" t="str">
        <x:v>ENV-015</x:v>
      </x:c>
      <x:c r="B19" s="46" t="n">
        <x:v>46188</x:v>
      </x:c>
      <x:c r="C19" s="47" t="str">
        <x:v>Site 3</x:v>
      </x:c>
      <x:c r="D19" s="47" t="str">
        <x:v>pH</x:v>
      </x:c>
      <x:c r="E19" s="48" t="n">
        <x:v>8.6</x:v>
      </x:c>
      <x:c r="F19" s="47" t="str">
        <x:v>pH units</x:v>
      </x:c>
      <x:c r="G19" s="48" t="n">
        <x:v>6.5</x:v>
      </x:c>
      <x:c r="H19" s="48" t="n">
        <x:v>8.5</x:v>
      </x:c>
      <x:c r="I19" s="49" t="str">
        <x:f>IF(AND(E19&gt;=G19,E19&lt;=H19),"Pass","Review")</x:f>
        <x:v>Review</x:v>
      </x:c>
    </x:row>
    <x:row r="20">
      <x:c r="A20" s="45" t="str">
        <x:v>ENV-016</x:v>
      </x:c>
      <x:c r="B20" s="46" t="n">
        <x:v>46189</x:v>
      </x:c>
      <x:c r="C20" s="47" t="str">
        <x:v>Site 4</x:v>
      </x:c>
      <x:c r="D20" s="47" t="str">
        <x:v>pH</x:v>
      </x:c>
      <x:c r="E20" s="48" t="n">
        <x:v>9.5</x:v>
      </x:c>
      <x:c r="F20" s="47" t="str">
        <x:v>pH units</x:v>
      </x:c>
      <x:c r="G20" s="48" t="n">
        <x:v>6.5</x:v>
      </x:c>
      <x:c r="H20" s="48" t="n">
        <x:v>8.5</x:v>
      </x:c>
      <x:c r="I20" s="49" t="str">
        <x:f>IF(AND(E20&gt;=G20,E20&lt;=H20),"Pass","Review")</x:f>
        <x:v>Review</x:v>
      </x:c>
    </x:row>
    <x:row r="21">
      <x:c r="A21" s="45" t="str">
        <x:v>ENV-017</x:v>
      </x:c>
      <x:c r="B21" s="46" t="n">
        <x:v>46190</x:v>
      </x:c>
      <x:c r="C21" s="47" t="str">
        <x:v>Site 1</x:v>
      </x:c>
      <x:c r="D21" s="47" t="str">
        <x:v>pH</x:v>
      </x:c>
      <x:c r="E21" s="48" t="n">
        <x:v>7</x:v>
      </x:c>
      <x:c r="F21" s="47" t="str">
        <x:v>pH units</x:v>
      </x:c>
      <x:c r="G21" s="48" t="n">
        <x:v>6.5</x:v>
      </x:c>
      <x:c r="H21" s="48" t="n">
        <x:v>8.5</x:v>
      </x:c>
      <x:c r="I21" s="49" t="str">
        <x:f>IF(AND(E21&gt;=G21,E21&lt;=H21),"Pass","Review")</x:f>
        <x:v>Pass</x:v>
      </x:c>
    </x:row>
    <x:row r="22">
      <x:c r="A22" s="45" t="str">
        <x:v>ENV-018</x:v>
      </x:c>
      <x:c r="B22" s="46" t="n">
        <x:v>46191</x:v>
      </x:c>
      <x:c r="C22" s="47" t="str">
        <x:v>Site 2</x:v>
      </x:c>
      <x:c r="D22" s="47" t="str">
        <x:v>pH</x:v>
      </x:c>
      <x:c r="E22" s="48" t="n">
        <x:v>7.9</x:v>
      </x:c>
      <x:c r="F22" s="47" t="str">
        <x:v>pH units</x:v>
      </x:c>
      <x:c r="G22" s="48" t="n">
        <x:v>6.5</x:v>
      </x:c>
      <x:c r="H22" s="48" t="n">
        <x:v>8.5</x:v>
      </x:c>
      <x:c r="I22" s="49" t="str">
        <x:f>IF(AND(E22&gt;=G22,E22&lt;=H22),"Pass","Review")</x:f>
        <x:v>Pass</x:v>
      </x:c>
    </x:row>
    <x:row r="23">
      <x:c r="A23" s="45" t="str">
        <x:v>ENV-019</x:v>
      </x:c>
      <x:c r="B23" s="46" t="n">
        <x:v>46192</x:v>
      </x:c>
      <x:c r="C23" s="47" t="str">
        <x:v>Site 3</x:v>
      </x:c>
      <x:c r="D23" s="47" t="str">
        <x:v>pH</x:v>
      </x:c>
      <x:c r="E23" s="48" t="n">
        <x:v>8.8</x:v>
      </x:c>
      <x:c r="F23" s="47" t="str">
        <x:v>pH units</x:v>
      </x:c>
      <x:c r="G23" s="48" t="n">
        <x:v>6.5</x:v>
      </x:c>
      <x:c r="H23" s="48" t="n">
        <x:v>8.5</x:v>
      </x:c>
      <x:c r="I23" s="49" t="str">
        <x:f>IF(AND(E23&gt;=G23,E23&lt;=H23),"Pass","Review")</x:f>
        <x:v>Review</x:v>
      </x:c>
    </x:row>
    <x:row r="24">
      <x:c r="A24" s="45" t="str">
        <x:v>ENV-020</x:v>
      </x:c>
      <x:c r="B24" s="46" t="n">
        <x:v>46193</x:v>
      </x:c>
      <x:c r="C24" s="47" t="str">
        <x:v>Site 4</x:v>
      </x:c>
      <x:c r="D24" s="47" t="str">
        <x:v>pH</x:v>
      </x:c>
      <x:c r="E24" s="48" t="n">
        <x:v>6.3</x:v>
      </x:c>
      <x:c r="F24" s="47" t="str">
        <x:v>pH units</x:v>
      </x:c>
      <x:c r="G24" s="48" t="n">
        <x:v>6.5</x:v>
      </x:c>
      <x:c r="H24" s="48" t="n">
        <x:v>8.5</x:v>
      </x:c>
      <x:c r="I24" s="49" t="str">
        <x:f>IF(AND(E24&gt;=G24,E24&lt;=H24),"Pass","Review")</x:f>
        <x:v>Review</x:v>
      </x:c>
    </x:row>
    <x:row r="25">
      <x:c r="A25" s="45" t="str">
        <x:v>ENV-021</x:v>
      </x:c>
      <x:c r="B25" s="46" t="n">
        <x:v>46194</x:v>
      </x:c>
      <x:c r="C25" s="47" t="str">
        <x:v>Site 1</x:v>
      </x:c>
      <x:c r="D25" s="47" t="str">
        <x:v>pH</x:v>
      </x:c>
      <x:c r="E25" s="48" t="n">
        <x:v>7.2</x:v>
      </x:c>
      <x:c r="F25" s="47" t="str">
        <x:v>pH units</x:v>
      </x:c>
      <x:c r="G25" s="48" t="n">
        <x:v>6.5</x:v>
      </x:c>
      <x:c r="H25" s="48" t="n">
        <x:v>8.5</x:v>
      </x:c>
      <x:c r="I25" s="49" t="str">
        <x:f>IF(AND(E25&gt;=G25,E25&lt;=H25),"Pass","Review")</x:f>
        <x:v>Pass</x:v>
      </x:c>
    </x:row>
    <x:row r="26">
      <x:c r="A26" s="45" t="str">
        <x:v>ENV-022</x:v>
      </x:c>
      <x:c r="B26" s="46" t="n">
        <x:v>46195</x:v>
      </x:c>
      <x:c r="C26" s="47" t="str">
        <x:v>Site 2</x:v>
      </x:c>
      <x:c r="D26" s="47" t="str">
        <x:v>pH</x:v>
      </x:c>
      <x:c r="E26" s="48" t="n">
        <x:v>8.1</x:v>
      </x:c>
      <x:c r="F26" s="47" t="str">
        <x:v>pH units</x:v>
      </x:c>
      <x:c r="G26" s="48" t="n">
        <x:v>6.5</x:v>
      </x:c>
      <x:c r="H26" s="48" t="n">
        <x:v>8.5</x:v>
      </x:c>
      <x:c r="I26" s="49" t="str">
        <x:f>IF(AND(E26&gt;=G26,E26&lt;=H26),"Pass","Review")</x:f>
        <x:v>Pass</x:v>
      </x:c>
    </x:row>
    <x:row r="27">
      <x:c r="A27" s="45" t="str">
        <x:v>ENV-023</x:v>
      </x:c>
      <x:c r="B27" s="46" t="n">
        <x:v>46196</x:v>
      </x:c>
      <x:c r="C27" s="47" t="str">
        <x:v>Site 3</x:v>
      </x:c>
      <x:c r="D27" s="47" t="str">
        <x:v>pH</x:v>
      </x:c>
      <x:c r="E27" s="48" t="n">
        <x:v>9</x:v>
      </x:c>
      <x:c r="F27" s="47" t="str">
        <x:v>pH units</x:v>
      </x:c>
      <x:c r="G27" s="48" t="n">
        <x:v>6.5</x:v>
      </x:c>
      <x:c r="H27" s="48" t="n">
        <x:v>8.5</x:v>
      </x:c>
      <x:c r="I27" s="49" t="str">
        <x:f>IF(AND(E27&gt;=G27,E27&lt;=H27),"Pass","Review")</x:f>
        <x:v>Review</x:v>
      </x:c>
    </x:row>
    <x:row r="28">
      <x:c r="A28" s="50" t="str">
        <x:v>ENV-024</x:v>
      </x:c>
      <x:c r="B28" s="51" t="n">
        <x:v>46197</x:v>
      </x:c>
      <x:c r="C28" s="52" t="str">
        <x:v>Site 4</x:v>
      </x:c>
      <x:c r="D28" s="52" t="str">
        <x:v>pH</x:v>
      </x:c>
      <x:c r="E28" s="53" t="n">
        <x:v>6.5</x:v>
      </x:c>
      <x:c r="F28" s="52" t="str">
        <x:v>pH units</x:v>
      </x:c>
      <x:c r="G28" s="53" t="n">
        <x:v>6.5</x:v>
      </x:c>
      <x:c r="H28" s="53" t="n">
        <x:v>8.5</x:v>
      </x:c>
      <x:c r="I28" s="54" t="str">
        <x:f>IF(AND(E28&gt;=G28,E28&lt;=H28),"Pass","Review")</x:f>
        <x:v>Pass</x:v>
      </x:c>
    </x:row>
  </x:sheetData>
  <x:mergeCells>
    <x:mergeCell ref="A1:I1"/>
    <x:mergeCell ref="A2:I2"/>
  </x:mergeCells>
  <x:conditionalFormatting sqref="I5:I28">
    <x:cfRule type="containsText" dxfId="20" priority="1" operator="containsText" text="Pass"/>
    <x:cfRule type="containsText" dxfId="21" priority="2" operator="containsText" text="Fail"/>
    <x:cfRule type="containsText" dxfId="22" priority="3" operator="containsText" text="Review"/>
    <x:cfRule type="containsText" dxfId="23" priority="4" operator="containsText" text="Within Target"/>
  </x:conditionalFormatting>
  <x:pageMargins left="0.7" right="0.7" top="0.75" bottom="0.75" header="0.3" footer="0.3"/>
  <x:tableParts count="1">
    <x:tablePart xmlns:r="http://schemas.openxmlformats.org/officeDocument/2006/relationships" r:id="Rddf293fc7ff54ca5"/>
  </x:tableParts>
</x:worksheet>
</file>